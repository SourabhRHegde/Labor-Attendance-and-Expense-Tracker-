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44003539-3191-4C03-89FA-22D0620DFE9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ROJECT NAME NOV" sheetId="1" r:id="rId1"/>
    <sheet name="Dashboard" sheetId="8" state="hidden" r:id="rId2"/>
    <sheet name="PROJECT NAME DEC" sheetId="10" r:id="rId3"/>
    <sheet name="Billable Till Date" sheetId="12" r:id="rId4"/>
    <sheet name="MISC EXPENSES" sheetId="4" r:id="rId5"/>
    <sheet name="Settings" sheetId="3" r:id="rId6"/>
    <sheet name="Rate Master" sheetId="5" r:id="rId7"/>
    <sheet name="Production Report Nov" sheetId="9" r:id="rId8"/>
    <sheet name="Production Report Dec" sheetId="11" r:id="rId9"/>
    <sheet name="Info" sheetId="6" state="hidden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7" i="10" l="1"/>
  <c r="AP47" i="10"/>
  <c r="AO19" i="9" l="1"/>
  <c r="AO20" i="11" l="1"/>
  <c r="AO19" i="11"/>
  <c r="AO16" i="11"/>
  <c r="AO15" i="11"/>
  <c r="AO12" i="11"/>
  <c r="AO11" i="11"/>
  <c r="AO10" i="11"/>
  <c r="AO7" i="11"/>
  <c r="AO6" i="11"/>
  <c r="AO5" i="11"/>
  <c r="AO4" i="11"/>
  <c r="R29" i="10" l="1"/>
  <c r="S29" i="10"/>
  <c r="CS62" i="1"/>
  <c r="CT62" i="1"/>
  <c r="CS63" i="1"/>
  <c r="CT63" i="1"/>
  <c r="CS64" i="1"/>
  <c r="CT64" i="1"/>
  <c r="CS65" i="1"/>
  <c r="CT65" i="1"/>
  <c r="CS66" i="1"/>
  <c r="CT66" i="1"/>
  <c r="CS67" i="1"/>
  <c r="CT67" i="1"/>
  <c r="CS68" i="1"/>
  <c r="CT68" i="1"/>
  <c r="CS69" i="1"/>
  <c r="CT69" i="1"/>
  <c r="CS70" i="1"/>
  <c r="CT70" i="1"/>
  <c r="CS71" i="1"/>
  <c r="CT71" i="1"/>
  <c r="CS72" i="1"/>
  <c r="CT72" i="1"/>
  <c r="CS73" i="1"/>
  <c r="CT73" i="1"/>
  <c r="CS74" i="1"/>
  <c r="CT74" i="1"/>
  <c r="CS75" i="1"/>
  <c r="CT75" i="1"/>
  <c r="CS76" i="1"/>
  <c r="CT76" i="1"/>
  <c r="CS77" i="1"/>
  <c r="CT77" i="1"/>
  <c r="CS78" i="1"/>
  <c r="CT78" i="1"/>
  <c r="CS79" i="1"/>
  <c r="CT79" i="1"/>
  <c r="CS80" i="1"/>
  <c r="CT80" i="1"/>
  <c r="CT32" i="1"/>
  <c r="CS32" i="1"/>
  <c r="CT31" i="1"/>
  <c r="CS31" i="1"/>
  <c r="CT30" i="1"/>
  <c r="CS30" i="1"/>
  <c r="CS33" i="1"/>
  <c r="CT33" i="1"/>
  <c r="BT59" i="10" l="1"/>
  <c r="BS59" i="10"/>
  <c r="DH48" i="10"/>
  <c r="CX48" i="10"/>
  <c r="CY48" i="10" s="1"/>
  <c r="CT48" i="10"/>
  <c r="CS48" i="10"/>
  <c r="CF48" i="10"/>
  <c r="CE48" i="10"/>
  <c r="BJ48" i="10"/>
  <c r="BI48" i="10"/>
  <c r="AP48" i="10"/>
  <c r="AO48" i="10"/>
  <c r="S48" i="10"/>
  <c r="R48" i="10"/>
  <c r="DH46" i="10"/>
  <c r="CY46" i="10"/>
  <c r="CX46" i="10"/>
  <c r="CT46" i="10"/>
  <c r="CS46" i="10"/>
  <c r="CF46" i="10"/>
  <c r="CE46" i="10"/>
  <c r="BJ46" i="10"/>
  <c r="BI46" i="10"/>
  <c r="AP46" i="10"/>
  <c r="AO46" i="10"/>
  <c r="S46" i="10"/>
  <c r="R46" i="10"/>
  <c r="DH45" i="10"/>
  <c r="CX45" i="10"/>
  <c r="CY45" i="10" s="1"/>
  <c r="CT45" i="10"/>
  <c r="CS45" i="10"/>
  <c r="CF45" i="10"/>
  <c r="CE45" i="10"/>
  <c r="BJ45" i="10"/>
  <c r="BI45" i="10"/>
  <c r="AP45" i="10"/>
  <c r="AO45" i="10"/>
  <c r="S45" i="10"/>
  <c r="R45" i="10"/>
  <c r="DH44" i="10"/>
  <c r="CX44" i="10"/>
  <c r="CY44" i="10" s="1"/>
  <c r="CT44" i="10"/>
  <c r="CS44" i="10"/>
  <c r="CF44" i="10"/>
  <c r="CE44" i="10"/>
  <c r="BJ44" i="10"/>
  <c r="BI44" i="10"/>
  <c r="AP44" i="10"/>
  <c r="AO44" i="10"/>
  <c r="S44" i="10"/>
  <c r="R44" i="10"/>
  <c r="DH43" i="10"/>
  <c r="CX43" i="10"/>
  <c r="CY43" i="10" s="1"/>
  <c r="CT43" i="10"/>
  <c r="CS43" i="10"/>
  <c r="CF43" i="10"/>
  <c r="CE43" i="10"/>
  <c r="BJ43" i="10"/>
  <c r="BI43" i="10"/>
  <c r="AP43" i="10"/>
  <c r="AO43" i="10"/>
  <c r="S43" i="10"/>
  <c r="R43" i="10"/>
  <c r="DH42" i="10"/>
  <c r="CX42" i="10"/>
  <c r="CY42" i="10" s="1"/>
  <c r="CT42" i="10"/>
  <c r="CS42" i="10"/>
  <c r="CF42" i="10"/>
  <c r="CE42" i="10"/>
  <c r="BJ42" i="10"/>
  <c r="BI42" i="10"/>
  <c r="AP42" i="10"/>
  <c r="AO42" i="10"/>
  <c r="S42" i="10"/>
  <c r="R42" i="10"/>
  <c r="DH41" i="10"/>
  <c r="CX41" i="10"/>
  <c r="CY41" i="10" s="1"/>
  <c r="CT41" i="10"/>
  <c r="CS41" i="10"/>
  <c r="CF41" i="10"/>
  <c r="CE41" i="10"/>
  <c r="BJ41" i="10"/>
  <c r="BI41" i="10"/>
  <c r="AP41" i="10"/>
  <c r="AO41" i="10"/>
  <c r="S41" i="10"/>
  <c r="R41" i="10"/>
  <c r="DH40" i="10"/>
  <c r="CX40" i="10"/>
  <c r="CY40" i="10" s="1"/>
  <c r="CT40" i="10"/>
  <c r="CS40" i="10"/>
  <c r="CF40" i="10"/>
  <c r="CE40" i="10"/>
  <c r="BJ40" i="10"/>
  <c r="BI40" i="10"/>
  <c r="AP40" i="10"/>
  <c r="AO40" i="10"/>
  <c r="S40" i="10"/>
  <c r="R40" i="10"/>
  <c r="DH39" i="10"/>
  <c r="CY39" i="10"/>
  <c r="CX39" i="10"/>
  <c r="CT39" i="10"/>
  <c r="CS39" i="10"/>
  <c r="CF39" i="10"/>
  <c r="CE39" i="10"/>
  <c r="BJ39" i="10"/>
  <c r="BI39" i="10"/>
  <c r="AP39" i="10"/>
  <c r="AO39" i="10"/>
  <c r="S39" i="10"/>
  <c r="R39" i="10"/>
  <c r="DH38" i="10"/>
  <c r="CX38" i="10"/>
  <c r="CY38" i="10" s="1"/>
  <c r="CT38" i="10"/>
  <c r="CS38" i="10"/>
  <c r="CF38" i="10"/>
  <c r="CE38" i="10"/>
  <c r="BJ38" i="10"/>
  <c r="BI38" i="10"/>
  <c r="AP38" i="10"/>
  <c r="AO38" i="10"/>
  <c r="S38" i="10"/>
  <c r="R38" i="10"/>
  <c r="DH37" i="10"/>
  <c r="CX37" i="10"/>
  <c r="CY37" i="10" s="1"/>
  <c r="CT37" i="10"/>
  <c r="CS37" i="10"/>
  <c r="CF37" i="10"/>
  <c r="CE37" i="10"/>
  <c r="BJ37" i="10"/>
  <c r="BI37" i="10"/>
  <c r="AP37" i="10"/>
  <c r="AO37" i="10"/>
  <c r="S37" i="10"/>
  <c r="R37" i="10"/>
  <c r="DH36" i="10"/>
  <c r="CX36" i="10"/>
  <c r="CY36" i="10" s="1"/>
  <c r="CT36" i="10"/>
  <c r="CS36" i="10"/>
  <c r="CF36" i="10"/>
  <c r="CE36" i="10"/>
  <c r="BJ36" i="10"/>
  <c r="BI36" i="10"/>
  <c r="AP36" i="10"/>
  <c r="AO36" i="10"/>
  <c r="S36" i="10"/>
  <c r="R36" i="10"/>
  <c r="DH35" i="10"/>
  <c r="CX35" i="10"/>
  <c r="CY35" i="10" s="1"/>
  <c r="CT35" i="10"/>
  <c r="CS35" i="10"/>
  <c r="CF35" i="10"/>
  <c r="CE35" i="10"/>
  <c r="BJ35" i="10"/>
  <c r="BI35" i="10"/>
  <c r="AP35" i="10"/>
  <c r="AO35" i="10"/>
  <c r="S35" i="10"/>
  <c r="R35" i="10"/>
  <c r="DH34" i="10"/>
  <c r="CX34" i="10"/>
  <c r="CY34" i="10" s="1"/>
  <c r="CT34" i="10"/>
  <c r="CS34" i="10"/>
  <c r="CF34" i="10"/>
  <c r="CE34" i="10"/>
  <c r="BJ34" i="10"/>
  <c r="BI34" i="10"/>
  <c r="AP34" i="10"/>
  <c r="AO34" i="10"/>
  <c r="S34" i="10"/>
  <c r="R34" i="10"/>
  <c r="DH33" i="10"/>
  <c r="CX33" i="10"/>
  <c r="CY33" i="10" s="1"/>
  <c r="CT33" i="10"/>
  <c r="CS33" i="10"/>
  <c r="CF33" i="10"/>
  <c r="CE33" i="10"/>
  <c r="BJ33" i="10"/>
  <c r="BI33" i="10"/>
  <c r="AP33" i="10"/>
  <c r="AO33" i="10"/>
  <c r="S33" i="10"/>
  <c r="R33" i="10"/>
  <c r="DH32" i="10"/>
  <c r="CX32" i="10"/>
  <c r="CY32" i="10" s="1"/>
  <c r="CT32" i="10"/>
  <c r="CS32" i="10"/>
  <c r="CF32" i="10"/>
  <c r="CE32" i="10"/>
  <c r="BJ32" i="10"/>
  <c r="BI32" i="10"/>
  <c r="AP32" i="10"/>
  <c r="AO32" i="10"/>
  <c r="S32" i="10"/>
  <c r="R32" i="10"/>
  <c r="DH31" i="10"/>
  <c r="CX31" i="10"/>
  <c r="CY31" i="10" s="1"/>
  <c r="CT31" i="10"/>
  <c r="CS31" i="10"/>
  <c r="CF31" i="10"/>
  <c r="CE31" i="10"/>
  <c r="BJ31" i="10"/>
  <c r="BI31" i="10"/>
  <c r="AP31" i="10"/>
  <c r="AO31" i="10"/>
  <c r="S31" i="10"/>
  <c r="R31" i="10"/>
  <c r="DH30" i="10"/>
  <c r="CX30" i="10"/>
  <c r="CY30" i="10" s="1"/>
  <c r="CT30" i="10"/>
  <c r="CS30" i="10"/>
  <c r="CF30" i="10"/>
  <c r="CE30" i="10"/>
  <c r="BJ30" i="10"/>
  <c r="BI30" i="10"/>
  <c r="AP30" i="10"/>
  <c r="AO30" i="10"/>
  <c r="S30" i="10"/>
  <c r="R30" i="10"/>
  <c r="CX29" i="10"/>
  <c r="CY29" i="10" s="1"/>
  <c r="CT29" i="10"/>
  <c r="CS29" i="10"/>
  <c r="CF29" i="10"/>
  <c r="CE29" i="10"/>
  <c r="BJ29" i="10"/>
  <c r="BI29" i="10"/>
  <c r="AP29" i="10"/>
  <c r="AO29" i="10"/>
  <c r="DH28" i="10"/>
  <c r="CX28" i="10"/>
  <c r="CY28" i="10" s="1"/>
  <c r="CT28" i="10"/>
  <c r="CS28" i="10"/>
  <c r="CF28" i="10"/>
  <c r="CE28" i="10"/>
  <c r="BJ28" i="10"/>
  <c r="BI28" i="10"/>
  <c r="AP28" i="10"/>
  <c r="AO28" i="10"/>
  <c r="S28" i="10"/>
  <c r="R28" i="10"/>
  <c r="DH27" i="10"/>
  <c r="CY27" i="10"/>
  <c r="CX27" i="10"/>
  <c r="CT27" i="10"/>
  <c r="CS27" i="10"/>
  <c r="CF27" i="10"/>
  <c r="CE27" i="10"/>
  <c r="BJ27" i="10"/>
  <c r="BI27" i="10"/>
  <c r="AP27" i="10"/>
  <c r="AO27" i="10"/>
  <c r="S27" i="10"/>
  <c r="R27" i="10"/>
  <c r="DH26" i="10"/>
  <c r="CX26" i="10"/>
  <c r="CY26" i="10" s="1"/>
  <c r="CT26" i="10"/>
  <c r="CS26" i="10"/>
  <c r="CF26" i="10"/>
  <c r="CE26" i="10"/>
  <c r="BJ26" i="10"/>
  <c r="BI26" i="10"/>
  <c r="AP26" i="10"/>
  <c r="AO26" i="10"/>
  <c r="S26" i="10"/>
  <c r="R26" i="10"/>
  <c r="DH25" i="10"/>
  <c r="CX25" i="10"/>
  <c r="CY25" i="10" s="1"/>
  <c r="CT25" i="10"/>
  <c r="CS25" i="10"/>
  <c r="CF25" i="10"/>
  <c r="CE25" i="10"/>
  <c r="BJ25" i="10"/>
  <c r="BI25" i="10"/>
  <c r="AP25" i="10"/>
  <c r="AO25" i="10"/>
  <c r="S25" i="10"/>
  <c r="R25" i="10"/>
  <c r="DH24" i="10"/>
  <c r="CX24" i="10"/>
  <c r="CY24" i="10" s="1"/>
  <c r="CT24" i="10"/>
  <c r="CS24" i="10"/>
  <c r="CF24" i="10"/>
  <c r="CE24" i="10"/>
  <c r="BJ24" i="10"/>
  <c r="BI24" i="10"/>
  <c r="AP24" i="10"/>
  <c r="AO24" i="10"/>
  <c r="S24" i="10"/>
  <c r="R24" i="10"/>
  <c r="DH23" i="10"/>
  <c r="CX23" i="10"/>
  <c r="CY23" i="10" s="1"/>
  <c r="CT23" i="10"/>
  <c r="CS23" i="10"/>
  <c r="CF23" i="10"/>
  <c r="CE23" i="10"/>
  <c r="BJ23" i="10"/>
  <c r="BI23" i="10"/>
  <c r="AP23" i="10"/>
  <c r="AO23" i="10"/>
  <c r="S23" i="10"/>
  <c r="R23" i="10"/>
  <c r="DH22" i="10"/>
  <c r="CX22" i="10"/>
  <c r="CY22" i="10" s="1"/>
  <c r="CT22" i="10"/>
  <c r="CS22" i="10"/>
  <c r="CF22" i="10"/>
  <c r="CE22" i="10"/>
  <c r="BJ22" i="10"/>
  <c r="BI22" i="10"/>
  <c r="AP22" i="10"/>
  <c r="AO22" i="10"/>
  <c r="S22" i="10"/>
  <c r="R22" i="10"/>
  <c r="DH21" i="10"/>
  <c r="CX21" i="10"/>
  <c r="CY21" i="10" s="1"/>
  <c r="CT21" i="10"/>
  <c r="CS21" i="10"/>
  <c r="CF21" i="10"/>
  <c r="CE21" i="10"/>
  <c r="BJ21" i="10"/>
  <c r="BI21" i="10"/>
  <c r="AP21" i="10"/>
  <c r="AO21" i="10"/>
  <c r="S21" i="10"/>
  <c r="R21" i="10"/>
  <c r="DH20" i="10"/>
  <c r="CX20" i="10"/>
  <c r="CY20" i="10" s="1"/>
  <c r="CT20" i="10"/>
  <c r="CS20" i="10"/>
  <c r="CF20" i="10"/>
  <c r="CE20" i="10"/>
  <c r="BJ20" i="10"/>
  <c r="BI20" i="10"/>
  <c r="AP20" i="10"/>
  <c r="AO20" i="10"/>
  <c r="S20" i="10"/>
  <c r="R20" i="10"/>
  <c r="DH19" i="10"/>
  <c r="CX19" i="10"/>
  <c r="CY19" i="10" s="1"/>
  <c r="CT19" i="10"/>
  <c r="CS19" i="10"/>
  <c r="CF19" i="10"/>
  <c r="CE19" i="10"/>
  <c r="BJ19" i="10"/>
  <c r="BI19" i="10"/>
  <c r="AP19" i="10"/>
  <c r="AO19" i="10"/>
  <c r="S19" i="10"/>
  <c r="R19" i="10"/>
  <c r="DH18" i="10"/>
  <c r="CX18" i="10"/>
  <c r="CY18" i="10" s="1"/>
  <c r="CT18" i="10"/>
  <c r="CS18" i="10"/>
  <c r="CF18" i="10"/>
  <c r="CE18" i="10"/>
  <c r="BJ18" i="10"/>
  <c r="BI18" i="10"/>
  <c r="AP18" i="10"/>
  <c r="AO18" i="10"/>
  <c r="S18" i="10"/>
  <c r="R18" i="10"/>
  <c r="DH17" i="10"/>
  <c r="CX17" i="10"/>
  <c r="CY17" i="10" s="1"/>
  <c r="CT17" i="10"/>
  <c r="CS17" i="10"/>
  <c r="CF17" i="10"/>
  <c r="CE17" i="10"/>
  <c r="BJ17" i="10"/>
  <c r="BI17" i="10"/>
  <c r="AP17" i="10"/>
  <c r="AO17" i="10"/>
  <c r="S17" i="10"/>
  <c r="R17" i="10"/>
  <c r="DH16" i="10"/>
  <c r="CX16" i="10"/>
  <c r="CY16" i="10" s="1"/>
  <c r="CT16" i="10"/>
  <c r="CS16" i="10"/>
  <c r="CF16" i="10"/>
  <c r="CE16" i="10"/>
  <c r="BJ16" i="10"/>
  <c r="BI16" i="10"/>
  <c r="AP16" i="10"/>
  <c r="AO16" i="10"/>
  <c r="S16" i="10"/>
  <c r="R16" i="10"/>
  <c r="DH15" i="10"/>
  <c r="CX15" i="10"/>
  <c r="CY15" i="10" s="1"/>
  <c r="CT15" i="10"/>
  <c r="CS15" i="10"/>
  <c r="CF15" i="10"/>
  <c r="CE15" i="10"/>
  <c r="BJ15" i="10"/>
  <c r="BI15" i="10"/>
  <c r="AP15" i="10"/>
  <c r="AO15" i="10"/>
  <c r="S15" i="10"/>
  <c r="R15" i="10"/>
  <c r="DH14" i="10"/>
  <c r="CX14" i="10"/>
  <c r="CY14" i="10" s="1"/>
  <c r="CT14" i="10"/>
  <c r="CS14" i="10"/>
  <c r="CF14" i="10"/>
  <c r="CE14" i="10"/>
  <c r="BJ14" i="10"/>
  <c r="BI14" i="10"/>
  <c r="AP14" i="10"/>
  <c r="AO14" i="10"/>
  <c r="S14" i="10"/>
  <c r="R14" i="10"/>
  <c r="DH13" i="10"/>
  <c r="CX13" i="10"/>
  <c r="CY13" i="10" s="1"/>
  <c r="CT13" i="10"/>
  <c r="CS13" i="10"/>
  <c r="CF13" i="10"/>
  <c r="CE13" i="10"/>
  <c r="BJ13" i="10"/>
  <c r="BI13" i="10"/>
  <c r="AP13" i="10"/>
  <c r="AO13" i="10"/>
  <c r="S13" i="10"/>
  <c r="R13" i="10"/>
  <c r="DH12" i="10"/>
  <c r="CX12" i="10"/>
  <c r="CY12" i="10" s="1"/>
  <c r="CT12" i="10"/>
  <c r="CS12" i="10"/>
  <c r="CF12" i="10"/>
  <c r="CE12" i="10"/>
  <c r="BJ12" i="10"/>
  <c r="BI12" i="10"/>
  <c r="AP12" i="10"/>
  <c r="AO12" i="10"/>
  <c r="S12" i="10"/>
  <c r="R12" i="10"/>
  <c r="DH11" i="10"/>
  <c r="CX11" i="10"/>
  <c r="CY11" i="10" s="1"/>
  <c r="CT11" i="10"/>
  <c r="CS11" i="10"/>
  <c r="CF11" i="10"/>
  <c r="CE11" i="10"/>
  <c r="BJ11" i="10"/>
  <c r="BI11" i="10"/>
  <c r="AP11" i="10"/>
  <c r="AO11" i="10"/>
  <c r="S11" i="10"/>
  <c r="R11" i="10"/>
  <c r="DH10" i="10"/>
  <c r="CX10" i="10"/>
  <c r="CY10" i="10" s="1"/>
  <c r="CT10" i="10"/>
  <c r="CS10" i="10"/>
  <c r="CF10" i="10"/>
  <c r="CE10" i="10"/>
  <c r="BJ10" i="10"/>
  <c r="BI10" i="10"/>
  <c r="AP10" i="10"/>
  <c r="AO10" i="10"/>
  <c r="S10" i="10"/>
  <c r="R10" i="10"/>
  <c r="DH9" i="10"/>
  <c r="CX9" i="10"/>
  <c r="CY9" i="10" s="1"/>
  <c r="CT9" i="10"/>
  <c r="CS9" i="10"/>
  <c r="CF9" i="10"/>
  <c r="CE9" i="10"/>
  <c r="BJ9" i="10"/>
  <c r="BI9" i="10"/>
  <c r="AP9" i="10"/>
  <c r="AO9" i="10"/>
  <c r="S9" i="10"/>
  <c r="R9" i="10"/>
  <c r="DH8" i="10"/>
  <c r="CX8" i="10"/>
  <c r="CY8" i="10" s="1"/>
  <c r="CT8" i="10"/>
  <c r="CS8" i="10"/>
  <c r="CF8" i="10"/>
  <c r="CE8" i="10"/>
  <c r="BJ8" i="10"/>
  <c r="BI8" i="10"/>
  <c r="AP8" i="10"/>
  <c r="AO8" i="10"/>
  <c r="S8" i="10"/>
  <c r="R8" i="10"/>
  <c r="DH7" i="10"/>
  <c r="CX7" i="10"/>
  <c r="CY7" i="10" s="1"/>
  <c r="CT7" i="10"/>
  <c r="CS7" i="10"/>
  <c r="CF7" i="10"/>
  <c r="CE7" i="10"/>
  <c r="BJ7" i="10"/>
  <c r="BI7" i="10"/>
  <c r="AP7" i="10"/>
  <c r="AO7" i="10"/>
  <c r="S7" i="10"/>
  <c r="R7" i="10"/>
  <c r="CW2" i="10"/>
  <c r="R82" i="1"/>
  <c r="S82" i="1"/>
  <c r="AO82" i="1"/>
  <c r="AP82" i="1"/>
  <c r="BI82" i="1"/>
  <c r="BJ82" i="1"/>
  <c r="CE82" i="1"/>
  <c r="CF82" i="1"/>
  <c r="CS82" i="1"/>
  <c r="CT82" i="1"/>
  <c r="CX2" i="10" l="1"/>
  <c r="CY2" i="10" s="1"/>
  <c r="AO5" i="9" l="1"/>
  <c r="AO6" i="9"/>
  <c r="AO7" i="9"/>
  <c r="AO10" i="9"/>
  <c r="AO11" i="9"/>
  <c r="AO12" i="9"/>
  <c r="AO15" i="9"/>
  <c r="AO16" i="9"/>
  <c r="AO20" i="9"/>
  <c r="AO4" i="9"/>
  <c r="CT8" i="1" l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7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5" i="1"/>
  <c r="CS36" i="1"/>
  <c r="CS37" i="1"/>
  <c r="CS38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39" i="1"/>
  <c r="CE56" i="1" l="1"/>
  <c r="CF56" i="1"/>
  <c r="CE57" i="1"/>
  <c r="CF57" i="1"/>
  <c r="CE58" i="1"/>
  <c r="CF58" i="1"/>
  <c r="CE59" i="1"/>
  <c r="CF59" i="1"/>
  <c r="CE60" i="1"/>
  <c r="CF60" i="1"/>
  <c r="CE61" i="1"/>
  <c r="CF61" i="1"/>
  <c r="CE62" i="1"/>
  <c r="CF62" i="1"/>
  <c r="CF55" i="1" l="1"/>
  <c r="CE55" i="1"/>
  <c r="BI55" i="1"/>
  <c r="BJ55" i="1"/>
  <c r="AO29" i="1"/>
  <c r="AP29" i="1"/>
  <c r="CE29" i="1" l="1"/>
  <c r="CF29" i="1"/>
  <c r="BJ29" i="1"/>
  <c r="BI29" i="1"/>
  <c r="D7" i="5" l="1"/>
  <c r="D9" i="5"/>
  <c r="D4" i="5"/>
  <c r="DH52" i="1" l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28" i="1"/>
  <c r="DH27" i="1"/>
  <c r="DH26" i="1"/>
  <c r="DH25" i="1"/>
  <c r="DH24" i="1"/>
  <c r="E20" i="12" s="1"/>
  <c r="F20" i="12" s="1"/>
  <c r="DH23" i="1"/>
  <c r="E19" i="12" s="1"/>
  <c r="F19" i="12" s="1"/>
  <c r="DH22" i="1"/>
  <c r="E18" i="12" s="1"/>
  <c r="F18" i="12" s="1"/>
  <c r="DH21" i="1"/>
  <c r="E17" i="12" s="1"/>
  <c r="F17" i="12" s="1"/>
  <c r="DH20" i="1"/>
  <c r="E16" i="12" s="1"/>
  <c r="F16" i="12" s="1"/>
  <c r="DH19" i="1"/>
  <c r="E15" i="12" s="1"/>
  <c r="F15" i="12" s="1"/>
  <c r="DH18" i="1"/>
  <c r="E14" i="12" s="1"/>
  <c r="F14" i="12" s="1"/>
  <c r="DH17" i="1"/>
  <c r="E13" i="12" s="1"/>
  <c r="F13" i="12" s="1"/>
  <c r="DH16" i="1"/>
  <c r="E12" i="12" s="1"/>
  <c r="F12" i="12" s="1"/>
  <c r="DH15" i="1"/>
  <c r="E11" i="12" s="1"/>
  <c r="F11" i="12" s="1"/>
  <c r="DH14" i="1"/>
  <c r="E10" i="12" s="1"/>
  <c r="F10" i="12" s="1"/>
  <c r="DH13" i="1"/>
  <c r="E9" i="12" s="1"/>
  <c r="F9" i="12" s="1"/>
  <c r="DH12" i="1"/>
  <c r="E8" i="12" s="1"/>
  <c r="F8" i="12" s="1"/>
  <c r="DH11" i="1"/>
  <c r="E7" i="12" s="1"/>
  <c r="F7" i="12" s="1"/>
  <c r="DH10" i="1"/>
  <c r="E6" i="12" s="1"/>
  <c r="F6" i="12" s="1"/>
  <c r="DH9" i="1"/>
  <c r="E5" i="12" s="1"/>
  <c r="F5" i="12" s="1"/>
  <c r="DH8" i="1"/>
  <c r="E4" i="12" s="1"/>
  <c r="F4" i="12" s="1"/>
  <c r="DH7" i="1"/>
  <c r="E3" i="12" s="1"/>
  <c r="F3" i="12" s="1"/>
  <c r="D2" i="5"/>
  <c r="D3" i="5"/>
  <c r="D5" i="5"/>
  <c r="D6" i="5"/>
  <c r="D8" i="5"/>
  <c r="D10" i="5"/>
  <c r="D11" i="5"/>
  <c r="D12" i="5"/>
  <c r="E23" i="12" l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F7" i="1"/>
  <c r="CE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7" i="1"/>
  <c r="AP8" i="1" l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P7" i="1"/>
  <c r="AO7" i="1"/>
  <c r="C15" i="4" l="1"/>
  <c r="B6" i="3"/>
  <c r="B7" i="3"/>
  <c r="B8" i="3"/>
  <c r="B9" i="3"/>
  <c r="B10" i="3"/>
  <c r="B11" i="3"/>
  <c r="B12" i="3"/>
  <c r="B13" i="3"/>
  <c r="F6" i="3"/>
  <c r="F7" i="3"/>
  <c r="F8" i="3"/>
  <c r="F9" i="3"/>
  <c r="F10" i="3"/>
  <c r="F11" i="3"/>
  <c r="F12" i="3"/>
  <c r="F13" i="3"/>
  <c r="H10" i="3"/>
  <c r="H11" i="3"/>
  <c r="H12" i="3"/>
  <c r="H13" i="3"/>
  <c r="H6" i="3"/>
  <c r="H7" i="3"/>
  <c r="H8" i="3"/>
  <c r="H9" i="3"/>
  <c r="H5" i="3" l="1"/>
  <c r="F5" i="3"/>
  <c r="B5" i="3"/>
  <c r="H4" i="3"/>
  <c r="F4" i="3"/>
  <c r="B4" i="3"/>
  <c r="H3" i="3"/>
  <c r="F3" i="3"/>
  <c r="H2" i="3"/>
  <c r="F2" i="3"/>
  <c r="B2" i="3"/>
  <c r="AM47" i="10" l="1"/>
  <c r="AQ47" i="10" s="1"/>
  <c r="AN47" i="10"/>
  <c r="CU64" i="1"/>
  <c r="CW64" i="1" s="1"/>
  <c r="CX64" i="1" s="1"/>
  <c r="CY64" i="1" s="1"/>
  <c r="CU73" i="1"/>
  <c r="CW73" i="1" s="1"/>
  <c r="CV30" i="1"/>
  <c r="CV64" i="1"/>
  <c r="CV73" i="1"/>
  <c r="CU31" i="1"/>
  <c r="CW31" i="1" s="1"/>
  <c r="CX31" i="1" s="1"/>
  <c r="CY31" i="1" s="1"/>
  <c r="CV71" i="1"/>
  <c r="CU66" i="1"/>
  <c r="CW66" i="1" s="1"/>
  <c r="CX66" i="1" s="1"/>
  <c r="CY66" i="1" s="1"/>
  <c r="CV63" i="1"/>
  <c r="CU30" i="1"/>
  <c r="CW30" i="1" s="1"/>
  <c r="CX30" i="1" s="1"/>
  <c r="CY30" i="1" s="1"/>
  <c r="CU33" i="1"/>
  <c r="CW33" i="1" s="1"/>
  <c r="CX33" i="1" s="1"/>
  <c r="CY33" i="1" s="1"/>
  <c r="CU67" i="1"/>
  <c r="CW67" i="1" s="1"/>
  <c r="CX67" i="1" s="1"/>
  <c r="CY67" i="1" s="1"/>
  <c r="CU70" i="1"/>
  <c r="CW70" i="1" s="1"/>
  <c r="CX70" i="1" s="1"/>
  <c r="CY70" i="1" s="1"/>
  <c r="CU76" i="1"/>
  <c r="CW76" i="1" s="1"/>
  <c r="CX76" i="1" s="1"/>
  <c r="CY76" i="1" s="1"/>
  <c r="CV33" i="1"/>
  <c r="CV67" i="1"/>
  <c r="CV76" i="1"/>
  <c r="CV68" i="1"/>
  <c r="CV32" i="1"/>
  <c r="CV78" i="1"/>
  <c r="T29" i="10"/>
  <c r="V29" i="10" s="1"/>
  <c r="W29" i="10" s="1"/>
  <c r="X29" i="10" s="1"/>
  <c r="CU79" i="1"/>
  <c r="CW79" i="1" s="1"/>
  <c r="CX79" i="1" s="1"/>
  <c r="CY79" i="1" s="1"/>
  <c r="CV70" i="1"/>
  <c r="CV79" i="1"/>
  <c r="CV80" i="1"/>
  <c r="CU75" i="1"/>
  <c r="CW75" i="1" s="1"/>
  <c r="CX75" i="1" s="1"/>
  <c r="CY75" i="1" s="1"/>
  <c r="CV69" i="1"/>
  <c r="U29" i="10"/>
  <c r="CU63" i="1"/>
  <c r="CW63" i="1" s="1"/>
  <c r="CX63" i="1" s="1"/>
  <c r="CY63" i="1" s="1"/>
  <c r="CV31" i="1"/>
  <c r="CV77" i="1"/>
  <c r="CU72" i="1"/>
  <c r="CW72" i="1" s="1"/>
  <c r="CX72" i="1" s="1"/>
  <c r="CY72" i="1" s="1"/>
  <c r="CV72" i="1"/>
  <c r="CU62" i="1"/>
  <c r="CW62" i="1" s="1"/>
  <c r="CX62" i="1" s="1"/>
  <c r="CY62" i="1" s="1"/>
  <c r="CU65" i="1"/>
  <c r="CW65" i="1" s="1"/>
  <c r="CX65" i="1" s="1"/>
  <c r="CY65" i="1" s="1"/>
  <c r="CU68" i="1"/>
  <c r="CW68" i="1" s="1"/>
  <c r="CX68" i="1" s="1"/>
  <c r="CY68" i="1" s="1"/>
  <c r="CU71" i="1"/>
  <c r="CW71" i="1" s="1"/>
  <c r="CX71" i="1" s="1"/>
  <c r="CY71" i="1" s="1"/>
  <c r="CU74" i="1"/>
  <c r="CW74" i="1" s="1"/>
  <c r="CX74" i="1" s="1"/>
  <c r="CY74" i="1" s="1"/>
  <c r="CU77" i="1"/>
  <c r="CW77" i="1" s="1"/>
  <c r="CX77" i="1" s="1"/>
  <c r="CY77" i="1" s="1"/>
  <c r="CU80" i="1"/>
  <c r="CW80" i="1" s="1"/>
  <c r="CX80" i="1" s="1"/>
  <c r="CY80" i="1" s="1"/>
  <c r="CV74" i="1"/>
  <c r="CU69" i="1"/>
  <c r="CW69" i="1" s="1"/>
  <c r="CX69" i="1" s="1"/>
  <c r="CY69" i="1" s="1"/>
  <c r="CV62" i="1"/>
  <c r="CV65" i="1"/>
  <c r="CU78" i="1"/>
  <c r="CW78" i="1" s="1"/>
  <c r="CV75" i="1"/>
  <c r="CU32" i="1"/>
  <c r="CW32" i="1" s="1"/>
  <c r="CV66" i="1"/>
  <c r="BL46" i="10"/>
  <c r="BL48" i="10"/>
  <c r="BK46" i="10"/>
  <c r="BM46" i="10" s="1"/>
  <c r="BN46" i="10" s="1"/>
  <c r="BO46" i="10" s="1"/>
  <c r="CV44" i="10"/>
  <c r="AN43" i="10"/>
  <c r="CH42" i="10"/>
  <c r="U42" i="10"/>
  <c r="CG41" i="10"/>
  <c r="CI41" i="10" s="1"/>
  <c r="T41" i="10"/>
  <c r="V41" i="10" s="1"/>
  <c r="W41" i="10" s="1"/>
  <c r="X41" i="10" s="1"/>
  <c r="BL39" i="10"/>
  <c r="CV37" i="10"/>
  <c r="CU36" i="10"/>
  <c r="AM35" i="10"/>
  <c r="AQ35" i="10" s="1"/>
  <c r="AR35" i="10" s="1"/>
  <c r="AS35" i="10" s="1"/>
  <c r="CG34" i="10"/>
  <c r="CI34" i="10" s="1"/>
  <c r="CJ34" i="10" s="1"/>
  <c r="CK34" i="10" s="1"/>
  <c r="T34" i="10"/>
  <c r="V34" i="10" s="1"/>
  <c r="BL32" i="10"/>
  <c r="BK48" i="10"/>
  <c r="BM48" i="10" s="1"/>
  <c r="BN48" i="10" s="1"/>
  <c r="BO48" i="10" s="1"/>
  <c r="CV45" i="10"/>
  <c r="CU44" i="10"/>
  <c r="AM43" i="10"/>
  <c r="AQ43" i="10" s="1"/>
  <c r="AR43" i="10" s="1"/>
  <c r="AS43" i="10" s="1"/>
  <c r="CG42" i="10"/>
  <c r="CI42" i="10" s="1"/>
  <c r="CJ42" i="10" s="1"/>
  <c r="CK42" i="10" s="1"/>
  <c r="T42" i="10"/>
  <c r="V42" i="10" s="1"/>
  <c r="W42" i="10" s="1"/>
  <c r="X42" i="10" s="1"/>
  <c r="BL40" i="10"/>
  <c r="BK39" i="10"/>
  <c r="BM39" i="10" s="1"/>
  <c r="BN39" i="10" s="1"/>
  <c r="BO39" i="10" s="1"/>
  <c r="CU37" i="10"/>
  <c r="AN36" i="10"/>
  <c r="CH35" i="10"/>
  <c r="U35" i="10"/>
  <c r="BL33" i="10"/>
  <c r="BK32" i="10"/>
  <c r="BM32" i="10" s="1"/>
  <c r="BN32" i="10" s="1"/>
  <c r="BO32" i="10" s="1"/>
  <c r="CU30" i="10"/>
  <c r="AM29" i="10"/>
  <c r="AQ29" i="10" s="1"/>
  <c r="BK28" i="10"/>
  <c r="BM28" i="10" s="1"/>
  <c r="BN28" i="10" s="1"/>
  <c r="BO28" i="10" s="1"/>
  <c r="CV26" i="10"/>
  <c r="AN25" i="10"/>
  <c r="CH24" i="10"/>
  <c r="U24" i="10"/>
  <c r="BL22" i="10"/>
  <c r="CV20" i="10"/>
  <c r="AN19" i="10"/>
  <c r="CH18" i="10"/>
  <c r="U18" i="10"/>
  <c r="BL16" i="10"/>
  <c r="CV14" i="10"/>
  <c r="CU13" i="10"/>
  <c r="AM12" i="10"/>
  <c r="AQ12" i="10" s="1"/>
  <c r="AR12" i="10" s="1"/>
  <c r="AS12" i="10" s="1"/>
  <c r="CH11" i="10"/>
  <c r="U11" i="10"/>
  <c r="BL9" i="10"/>
  <c r="CV7" i="10"/>
  <c r="U82" i="1"/>
  <c r="CH82" i="1"/>
  <c r="AM9" i="10"/>
  <c r="AQ9" i="10" s="1"/>
  <c r="AR9" i="10" s="1"/>
  <c r="AS9" i="10" s="1"/>
  <c r="BL45" i="10"/>
  <c r="CU42" i="10"/>
  <c r="U33" i="10"/>
  <c r="BL26" i="10"/>
  <c r="AN23" i="10"/>
  <c r="U16" i="10"/>
  <c r="AN10" i="10"/>
  <c r="BL31" i="10"/>
  <c r="BK20" i="10"/>
  <c r="BM20" i="10" s="1"/>
  <c r="BN20" i="10" s="1"/>
  <c r="BO20" i="10" s="1"/>
  <c r="T16" i="10"/>
  <c r="V16" i="10" s="1"/>
  <c r="W16" i="10" s="1"/>
  <c r="X16" i="10" s="1"/>
  <c r="CH41" i="10"/>
  <c r="BK31" i="10"/>
  <c r="BM31" i="10" s="1"/>
  <c r="BN31" i="10" s="1"/>
  <c r="BO31" i="10" s="1"/>
  <c r="AN24" i="10"/>
  <c r="U17" i="10"/>
  <c r="AN11" i="10"/>
  <c r="CV30" i="10"/>
  <c r="CU25" i="10"/>
  <c r="T17" i="10"/>
  <c r="V17" i="10" s="1"/>
  <c r="W17" i="10" s="1"/>
  <c r="X17" i="10" s="1"/>
  <c r="T82" i="1"/>
  <c r="V82" i="1" s="1"/>
  <c r="W82" i="1" s="1"/>
  <c r="X82" i="1" s="1"/>
  <c r="CU45" i="10"/>
  <c r="AN44" i="10"/>
  <c r="CH43" i="10"/>
  <c r="U43" i="10"/>
  <c r="BK40" i="10"/>
  <c r="BM40" i="10" s="1"/>
  <c r="BN40" i="10" s="1"/>
  <c r="BO40" i="10" s="1"/>
  <c r="CV38" i="10"/>
  <c r="AN37" i="10"/>
  <c r="AM36" i="10"/>
  <c r="AQ36" i="10" s="1"/>
  <c r="AR36" i="10" s="1"/>
  <c r="AS36" i="10" s="1"/>
  <c r="CG35" i="10"/>
  <c r="CI35" i="10" s="1"/>
  <c r="T35" i="10"/>
  <c r="V35" i="10" s="1"/>
  <c r="W35" i="10" s="1"/>
  <c r="X35" i="10" s="1"/>
  <c r="BK33" i="10"/>
  <c r="BM33" i="10" s="1"/>
  <c r="BN33" i="10" s="1"/>
  <c r="BO33" i="10" s="1"/>
  <c r="CV31" i="10"/>
  <c r="AN30" i="10"/>
  <c r="CH29" i="10"/>
  <c r="CU26" i="10"/>
  <c r="AM25" i="10"/>
  <c r="AQ25" i="10" s="1"/>
  <c r="AR25" i="10" s="1"/>
  <c r="AS25" i="10" s="1"/>
  <c r="CG24" i="10"/>
  <c r="CI24" i="10" s="1"/>
  <c r="CJ24" i="10" s="1"/>
  <c r="CK24" i="10" s="1"/>
  <c r="T24" i="10"/>
  <c r="V24" i="10" s="1"/>
  <c r="W24" i="10" s="1"/>
  <c r="X24" i="10" s="1"/>
  <c r="BK22" i="10"/>
  <c r="BM22" i="10" s="1"/>
  <c r="BN22" i="10" s="1"/>
  <c r="BO22" i="10" s="1"/>
  <c r="CU20" i="10"/>
  <c r="AM19" i="10"/>
  <c r="AQ19" i="10" s="1"/>
  <c r="AR19" i="10" s="1"/>
  <c r="AS19" i="10" s="1"/>
  <c r="CG18" i="10"/>
  <c r="CI18" i="10" s="1"/>
  <c r="CJ18" i="10" s="1"/>
  <c r="CK18" i="10" s="1"/>
  <c r="T18" i="10"/>
  <c r="V18" i="10" s="1"/>
  <c r="W18" i="10" s="1"/>
  <c r="X18" i="10" s="1"/>
  <c r="BK16" i="10"/>
  <c r="BM16" i="10" s="1"/>
  <c r="BN16" i="10" s="1"/>
  <c r="BO16" i="10" s="1"/>
  <c r="CU14" i="10"/>
  <c r="AN13" i="10"/>
  <c r="CH12" i="10"/>
  <c r="U12" i="10"/>
  <c r="CG11" i="10"/>
  <c r="CI11" i="10" s="1"/>
  <c r="CJ11" i="10" s="1"/>
  <c r="CK11" i="10" s="1"/>
  <c r="T11" i="10"/>
  <c r="V11" i="10" s="1"/>
  <c r="W11" i="10" s="1"/>
  <c r="X11" i="10" s="1"/>
  <c r="BK9" i="10"/>
  <c r="BM9" i="10" s="1"/>
  <c r="BN9" i="10" s="1"/>
  <c r="BO9" i="10" s="1"/>
  <c r="CU7" i="10"/>
  <c r="AM82" i="1"/>
  <c r="AQ82" i="1" s="1"/>
  <c r="CV23" i="10"/>
  <c r="U21" i="10"/>
  <c r="CV17" i="10"/>
  <c r="CH8" i="10"/>
  <c r="U48" i="10"/>
  <c r="CU41" i="10"/>
  <c r="CH39" i="10"/>
  <c r="U32" i="10"/>
  <c r="U28" i="10"/>
  <c r="BK25" i="10"/>
  <c r="BM25" i="10" s="1"/>
  <c r="BN25" i="10" s="1"/>
  <c r="BO25" i="10" s="1"/>
  <c r="CG21" i="10"/>
  <c r="CI21" i="10" s="1"/>
  <c r="CJ21" i="10" s="1"/>
  <c r="CK21" i="10" s="1"/>
  <c r="CU17" i="10"/>
  <c r="CU10" i="10"/>
  <c r="BK82" i="1"/>
  <c r="BM82" i="1" s="1"/>
  <c r="BN82" i="1" s="1"/>
  <c r="BO82" i="1" s="1"/>
  <c r="BK44" i="10"/>
  <c r="BM44" i="10" s="1"/>
  <c r="BN44" i="10" s="1"/>
  <c r="BO44" i="10" s="1"/>
  <c r="T39" i="10"/>
  <c r="V39" i="10" s="1"/>
  <c r="W39" i="10" s="1"/>
  <c r="X39" i="10" s="1"/>
  <c r="BL20" i="10"/>
  <c r="CH16" i="10"/>
  <c r="CG40" i="10"/>
  <c r="CI40" i="10" s="1"/>
  <c r="CJ40" i="10" s="1"/>
  <c r="CK40" i="10" s="1"/>
  <c r="CG33" i="10"/>
  <c r="CI33" i="10" s="1"/>
  <c r="CJ33" i="10" s="1"/>
  <c r="CK33" i="10" s="1"/>
  <c r="BK26" i="10"/>
  <c r="BM26" i="10" s="1"/>
  <c r="BN26" i="10" s="1"/>
  <c r="BO26" i="10" s="1"/>
  <c r="T22" i="10"/>
  <c r="V22" i="10" s="1"/>
  <c r="W22" i="10" s="1"/>
  <c r="X22" i="10" s="1"/>
  <c r="BK14" i="10"/>
  <c r="BM14" i="10" s="1"/>
  <c r="CG9" i="10"/>
  <c r="CI9" i="10" s="1"/>
  <c r="CJ9" i="10" s="1"/>
  <c r="CK9" i="10" s="1"/>
  <c r="U41" i="10"/>
  <c r="AN35" i="10"/>
  <c r="CV25" i="10"/>
  <c r="BL21" i="10"/>
  <c r="BL15" i="10"/>
  <c r="AN29" i="10"/>
  <c r="CU19" i="10"/>
  <c r="AN12" i="10"/>
  <c r="CV46" i="10"/>
  <c r="AN45" i="10"/>
  <c r="AM44" i="10"/>
  <c r="AQ44" i="10" s="1"/>
  <c r="AR44" i="10" s="1"/>
  <c r="AS44" i="10" s="1"/>
  <c r="CG43" i="10"/>
  <c r="CI43" i="10" s="1"/>
  <c r="CJ43" i="10" s="1"/>
  <c r="CK43" i="10" s="1"/>
  <c r="T43" i="10"/>
  <c r="V43" i="10" s="1"/>
  <c r="W43" i="10" s="1"/>
  <c r="X43" i="10" s="1"/>
  <c r="BL41" i="10"/>
  <c r="CU38" i="10"/>
  <c r="AM37" i="10"/>
  <c r="AQ37" i="10" s="1"/>
  <c r="CH36" i="10"/>
  <c r="U36" i="10"/>
  <c r="BL34" i="10"/>
  <c r="CU31" i="10"/>
  <c r="AM30" i="10"/>
  <c r="AQ30" i="10" s="1"/>
  <c r="AR30" i="10" s="1"/>
  <c r="AS30" i="10" s="1"/>
  <c r="CG29" i="10"/>
  <c r="CI29" i="10" s="1"/>
  <c r="CJ29" i="10" s="1"/>
  <c r="CK29" i="10" s="1"/>
  <c r="CV27" i="10"/>
  <c r="AN26" i="10"/>
  <c r="CH25" i="10"/>
  <c r="U25" i="10"/>
  <c r="BL23" i="10"/>
  <c r="CV21" i="10"/>
  <c r="AN20" i="10"/>
  <c r="CH19" i="10"/>
  <c r="U19" i="10"/>
  <c r="BL17" i="10"/>
  <c r="CV15" i="10"/>
  <c r="AN14" i="10"/>
  <c r="AM13" i="10"/>
  <c r="AQ13" i="10" s="1"/>
  <c r="AR13" i="10" s="1"/>
  <c r="AS13" i="10" s="1"/>
  <c r="CG12" i="10"/>
  <c r="CI12" i="10" s="1"/>
  <c r="CJ12" i="10" s="1"/>
  <c r="CK12" i="10" s="1"/>
  <c r="T12" i="10"/>
  <c r="V12" i="10" s="1"/>
  <c r="W12" i="10" s="1"/>
  <c r="X12" i="10" s="1"/>
  <c r="BL10" i="10"/>
  <c r="CV8" i="10"/>
  <c r="AN7" i="10"/>
  <c r="AN82" i="1"/>
  <c r="U27" i="10"/>
  <c r="CH15" i="10"/>
  <c r="BK12" i="10"/>
  <c r="BM12" i="10" s="1"/>
  <c r="BN12" i="10" s="1"/>
  <c r="BO12" i="10" s="1"/>
  <c r="U8" i="10"/>
  <c r="T46" i="10"/>
  <c r="V46" i="10" s="1"/>
  <c r="W46" i="10" s="1"/>
  <c r="X46" i="10" s="1"/>
  <c r="U39" i="10"/>
  <c r="CH32" i="10"/>
  <c r="T21" i="10"/>
  <c r="V21" i="10" s="1"/>
  <c r="W21" i="10" s="1"/>
  <c r="X21" i="10" s="1"/>
  <c r="CG15" i="10"/>
  <c r="CI15" i="10" s="1"/>
  <c r="CG8" i="10"/>
  <c r="CI8" i="10" s="1"/>
  <c r="CJ8" i="10" s="1"/>
  <c r="CK8" i="10" s="1"/>
  <c r="CH40" i="10"/>
  <c r="BK37" i="10"/>
  <c r="BM37" i="10" s="1"/>
  <c r="BN37" i="10" s="1"/>
  <c r="BO37" i="10" s="1"/>
  <c r="CG32" i="10"/>
  <c r="CI32" i="10" s="1"/>
  <c r="CJ32" i="10" s="1"/>
  <c r="CK32" i="10" s="1"/>
  <c r="CG28" i="10"/>
  <c r="CI28" i="10" s="1"/>
  <c r="CJ28" i="10" s="1"/>
  <c r="CK28" i="10" s="1"/>
  <c r="CV24" i="10"/>
  <c r="BK13" i="10"/>
  <c r="BM13" i="10" s="1"/>
  <c r="BN13" i="10" s="1"/>
  <c r="BO13" i="10" s="1"/>
  <c r="U9" i="10"/>
  <c r="AM41" i="10"/>
  <c r="AQ41" i="10" s="1"/>
  <c r="AR41" i="10" s="1"/>
  <c r="AS41" i="10" s="1"/>
  <c r="T33" i="10"/>
  <c r="V33" i="10" s="1"/>
  <c r="CU18" i="10"/>
  <c r="CU11" i="10"/>
  <c r="U34" i="10"/>
  <c r="CU29" i="10"/>
  <c r="CV19" i="10"/>
  <c r="CU12" i="10"/>
  <c r="AM24" i="10"/>
  <c r="AQ24" i="10" s="1"/>
  <c r="AR24" i="10" s="1"/>
  <c r="AS24" i="10" s="1"/>
  <c r="AM11" i="10"/>
  <c r="AQ11" i="10" s="1"/>
  <c r="AR11" i="10" s="1"/>
  <c r="AS11" i="10" s="1"/>
  <c r="CG82" i="1"/>
  <c r="CI82" i="1" s="1"/>
  <c r="CJ82" i="1" s="1"/>
  <c r="CK82" i="1" s="1"/>
  <c r="CV48" i="10"/>
  <c r="CU46" i="10"/>
  <c r="AM45" i="10"/>
  <c r="AQ45" i="10" s="1"/>
  <c r="AR45" i="10" s="1"/>
  <c r="AS45" i="10" s="1"/>
  <c r="CH44" i="10"/>
  <c r="U44" i="10"/>
  <c r="BL42" i="10"/>
  <c r="BK41" i="10"/>
  <c r="BM41" i="10" s="1"/>
  <c r="BN41" i="10" s="1"/>
  <c r="BO41" i="10" s="1"/>
  <c r="CV39" i="10"/>
  <c r="AN38" i="10"/>
  <c r="CH37" i="10"/>
  <c r="U37" i="10"/>
  <c r="CG36" i="10"/>
  <c r="CI36" i="10" s="1"/>
  <c r="CJ36" i="10" s="1"/>
  <c r="CK36" i="10" s="1"/>
  <c r="T36" i="10"/>
  <c r="V36" i="10" s="1"/>
  <c r="W36" i="10" s="1"/>
  <c r="X36" i="10" s="1"/>
  <c r="BK34" i="10"/>
  <c r="BM34" i="10" s="1"/>
  <c r="CV32" i="10"/>
  <c r="AN31" i="10"/>
  <c r="CH30" i="10"/>
  <c r="U30" i="10"/>
  <c r="CV28" i="10"/>
  <c r="CU27" i="10"/>
  <c r="AM26" i="10"/>
  <c r="AQ26" i="10" s="1"/>
  <c r="AR26" i="10" s="1"/>
  <c r="AS26" i="10" s="1"/>
  <c r="CG25" i="10"/>
  <c r="CI25" i="10" s="1"/>
  <c r="CJ25" i="10" s="1"/>
  <c r="CK25" i="10" s="1"/>
  <c r="T25" i="10"/>
  <c r="V25" i="10" s="1"/>
  <c r="W25" i="10" s="1"/>
  <c r="X25" i="10" s="1"/>
  <c r="BK23" i="10"/>
  <c r="BM23" i="10" s="1"/>
  <c r="BN23" i="10" s="1"/>
  <c r="BO23" i="10" s="1"/>
  <c r="CU21" i="10"/>
  <c r="AM20" i="10"/>
  <c r="AQ20" i="10" s="1"/>
  <c r="AR20" i="10" s="1"/>
  <c r="AS20" i="10" s="1"/>
  <c r="CG19" i="10"/>
  <c r="CI19" i="10" s="1"/>
  <c r="CJ19" i="10" s="1"/>
  <c r="CK19" i="10" s="1"/>
  <c r="T19" i="10"/>
  <c r="V19" i="10" s="1"/>
  <c r="W19" i="10" s="1"/>
  <c r="X19" i="10" s="1"/>
  <c r="BK17" i="10"/>
  <c r="BM17" i="10" s="1"/>
  <c r="BN17" i="10" s="1"/>
  <c r="BO17" i="10" s="1"/>
  <c r="CU15" i="10"/>
  <c r="AM14" i="10"/>
  <c r="AQ14" i="10" s="1"/>
  <c r="AR14" i="10" s="1"/>
  <c r="AS14" i="10" s="1"/>
  <c r="CH13" i="10"/>
  <c r="U13" i="10"/>
  <c r="BK10" i="10"/>
  <c r="BM10" i="10" s="1"/>
  <c r="BN10" i="10" s="1"/>
  <c r="BO10" i="10" s="1"/>
  <c r="CU8" i="10"/>
  <c r="AM7" i="10"/>
  <c r="AQ7" i="10" s="1"/>
  <c r="CU82" i="1"/>
  <c r="CW82" i="1" s="1"/>
  <c r="CX82" i="1" s="1"/>
  <c r="CY82" i="1" s="1"/>
  <c r="CG38" i="10"/>
  <c r="CI38" i="10" s="1"/>
  <c r="CJ38" i="10" s="1"/>
  <c r="CK38" i="10" s="1"/>
  <c r="AN33" i="10"/>
  <c r="CG31" i="10"/>
  <c r="CI31" i="10" s="1"/>
  <c r="CJ31" i="10" s="1"/>
  <c r="CK31" i="10" s="1"/>
  <c r="AN9" i="10"/>
  <c r="CH48" i="10"/>
  <c r="CV42" i="10"/>
  <c r="AM40" i="10"/>
  <c r="AQ40" i="10" s="1"/>
  <c r="AR40" i="10" s="1"/>
  <c r="AS40" i="10" s="1"/>
  <c r="BK36" i="10"/>
  <c r="BM36" i="10" s="1"/>
  <c r="BN36" i="10" s="1"/>
  <c r="BO36" i="10" s="1"/>
  <c r="CH28" i="10"/>
  <c r="AM22" i="10"/>
  <c r="AQ22" i="10" s="1"/>
  <c r="AR22" i="10" s="1"/>
  <c r="AS22" i="10" s="1"/>
  <c r="BL13" i="10"/>
  <c r="T48" i="10"/>
  <c r="V48" i="10" s="1"/>
  <c r="W48" i="10" s="1"/>
  <c r="X48" i="10" s="1"/>
  <c r="U40" i="10"/>
  <c r="CV35" i="10"/>
  <c r="T32" i="10"/>
  <c r="V32" i="10" s="1"/>
  <c r="CV18" i="10"/>
  <c r="BL14" i="10"/>
  <c r="BL82" i="1"/>
  <c r="BK45" i="10"/>
  <c r="BM45" i="10" s="1"/>
  <c r="BN45" i="10" s="1"/>
  <c r="BO45" i="10" s="1"/>
  <c r="T40" i="10"/>
  <c r="V40" i="10" s="1"/>
  <c r="CV29" i="10"/>
  <c r="CG16" i="10"/>
  <c r="CI16" i="10" s="1"/>
  <c r="CJ16" i="10" s="1"/>
  <c r="CK16" i="10" s="1"/>
  <c r="T9" i="10"/>
  <c r="V9" i="10" s="1"/>
  <c r="CU43" i="10"/>
  <c r="CV36" i="10"/>
  <c r="BK27" i="10"/>
  <c r="BM27" i="10" s="1"/>
  <c r="BN27" i="10" s="1"/>
  <c r="BO27" i="10" s="1"/>
  <c r="CG17" i="10"/>
  <c r="CI17" i="10" s="1"/>
  <c r="CJ17" i="10" s="1"/>
  <c r="CK17" i="10" s="1"/>
  <c r="CU48" i="10"/>
  <c r="AN46" i="10"/>
  <c r="CH45" i="10"/>
  <c r="U45" i="10"/>
  <c r="CG44" i="10"/>
  <c r="CI44" i="10" s="1"/>
  <c r="T44" i="10"/>
  <c r="V44" i="10" s="1"/>
  <c r="W44" i="10" s="1"/>
  <c r="X44" i="10" s="1"/>
  <c r="BK42" i="10"/>
  <c r="BM42" i="10" s="1"/>
  <c r="CV40" i="10"/>
  <c r="CU39" i="10"/>
  <c r="AM38" i="10"/>
  <c r="AQ38" i="10" s="1"/>
  <c r="AR38" i="10" s="1"/>
  <c r="AS38" i="10" s="1"/>
  <c r="CG37" i="10"/>
  <c r="CI37" i="10" s="1"/>
  <c r="CJ37" i="10" s="1"/>
  <c r="CK37" i="10" s="1"/>
  <c r="T37" i="10"/>
  <c r="V37" i="10" s="1"/>
  <c r="W37" i="10" s="1"/>
  <c r="X37" i="10" s="1"/>
  <c r="BL35" i="10"/>
  <c r="CV33" i="10"/>
  <c r="CU32" i="10"/>
  <c r="AM31" i="10"/>
  <c r="AQ31" i="10" s="1"/>
  <c r="AR31" i="10" s="1"/>
  <c r="AS31" i="10" s="1"/>
  <c r="CG30" i="10"/>
  <c r="CI30" i="10" s="1"/>
  <c r="CJ30" i="10" s="1"/>
  <c r="CK30" i="10" s="1"/>
  <c r="T30" i="10"/>
  <c r="V30" i="10" s="1"/>
  <c r="W30" i="10" s="1"/>
  <c r="X30" i="10" s="1"/>
  <c r="CU28" i="10"/>
  <c r="AN27" i="10"/>
  <c r="CH26" i="10"/>
  <c r="U26" i="10"/>
  <c r="BL24" i="10"/>
  <c r="CV22" i="10"/>
  <c r="AN21" i="10"/>
  <c r="CH20" i="10"/>
  <c r="U20" i="10"/>
  <c r="BL18" i="10"/>
  <c r="CV16" i="10"/>
  <c r="AN15" i="10"/>
  <c r="CH14" i="10"/>
  <c r="U14" i="10"/>
  <c r="CG13" i="10"/>
  <c r="CI13" i="10" s="1"/>
  <c r="CJ13" i="10" s="1"/>
  <c r="CK13" i="10" s="1"/>
  <c r="T13" i="10"/>
  <c r="V13" i="10" s="1"/>
  <c r="W13" i="10" s="1"/>
  <c r="X13" i="10" s="1"/>
  <c r="BL11" i="10"/>
  <c r="CV9" i="10"/>
  <c r="AN8" i="10"/>
  <c r="CH7" i="10"/>
  <c r="U7" i="10"/>
  <c r="CV82" i="1"/>
  <c r="AN40" i="10"/>
  <c r="T38" i="10"/>
  <c r="V38" i="10" s="1"/>
  <c r="W38" i="10" s="1"/>
  <c r="X38" i="10" s="1"/>
  <c r="CV34" i="10"/>
  <c r="T31" i="10"/>
  <c r="V31" i="10" s="1"/>
  <c r="W31" i="10" s="1"/>
  <c r="X31" i="10" s="1"/>
  <c r="BK29" i="10"/>
  <c r="BM29" i="10" s="1"/>
  <c r="BL25" i="10"/>
  <c r="CH21" i="10"/>
  <c r="U15" i="10"/>
  <c r="CG46" i="10"/>
  <c r="CI46" i="10" s="1"/>
  <c r="CJ46" i="10" s="1"/>
  <c r="CK46" i="10" s="1"/>
  <c r="BL44" i="10"/>
  <c r="BL37" i="10"/>
  <c r="CU34" i="10"/>
  <c r="BL30" i="10"/>
  <c r="CG27" i="10"/>
  <c r="CI27" i="10" s="1"/>
  <c r="CJ27" i="10" s="1"/>
  <c r="CK27" i="10" s="1"/>
  <c r="BK19" i="10"/>
  <c r="BM19" i="10" s="1"/>
  <c r="BN19" i="10" s="1"/>
  <c r="BO19" i="10" s="1"/>
  <c r="AM16" i="10"/>
  <c r="AQ16" i="10" s="1"/>
  <c r="AR16" i="10" s="1"/>
  <c r="AS16" i="10" s="1"/>
  <c r="CG39" i="10"/>
  <c r="CI39" i="10" s="1"/>
  <c r="CJ39" i="10" s="1"/>
  <c r="CK39" i="10" s="1"/>
  <c r="CH33" i="10"/>
  <c r="T28" i="10"/>
  <c r="V28" i="10" s="1"/>
  <c r="W28" i="10" s="1"/>
  <c r="X28" i="10" s="1"/>
  <c r="CH22" i="10"/>
  <c r="AN17" i="10"/>
  <c r="CV11" i="10"/>
  <c r="BL7" i="10"/>
  <c r="AM34" i="10"/>
  <c r="AQ34" i="10" s="1"/>
  <c r="AR34" i="10" s="1"/>
  <c r="AS34" i="10" s="1"/>
  <c r="CU24" i="10"/>
  <c r="BK7" i="10"/>
  <c r="BM7" i="10" s="1"/>
  <c r="BK38" i="10"/>
  <c r="BM38" i="10" s="1"/>
  <c r="BN38" i="10" s="1"/>
  <c r="BO38" i="10" s="1"/>
  <c r="BL27" i="10"/>
  <c r="CH10" i="10"/>
  <c r="BK21" i="10"/>
  <c r="BM21" i="10" s="1"/>
  <c r="BN21" i="10" s="1"/>
  <c r="BO21" i="10" s="1"/>
  <c r="BK15" i="10"/>
  <c r="BM15" i="10" s="1"/>
  <c r="BN15" i="10" s="1"/>
  <c r="BO15" i="10" s="1"/>
  <c r="CG10" i="10"/>
  <c r="CI10" i="10" s="1"/>
  <c r="CJ10" i="10" s="1"/>
  <c r="CK10" i="10" s="1"/>
  <c r="AN48" i="10"/>
  <c r="AM46" i="10"/>
  <c r="AQ46" i="10" s="1"/>
  <c r="AR46" i="10" s="1"/>
  <c r="AS46" i="10" s="1"/>
  <c r="CG45" i="10"/>
  <c r="CI45" i="10" s="1"/>
  <c r="CJ45" i="10" s="1"/>
  <c r="CK45" i="10" s="1"/>
  <c r="T45" i="10"/>
  <c r="V45" i="10" s="1"/>
  <c r="BL43" i="10"/>
  <c r="CU40" i="10"/>
  <c r="AN39" i="10"/>
  <c r="CH38" i="10"/>
  <c r="U38" i="10"/>
  <c r="BK35" i="10"/>
  <c r="BM35" i="10" s="1"/>
  <c r="BN35" i="10" s="1"/>
  <c r="BO35" i="10" s="1"/>
  <c r="CU33" i="10"/>
  <c r="AN32" i="10"/>
  <c r="CH31" i="10"/>
  <c r="U31" i="10"/>
  <c r="BL29" i="10"/>
  <c r="AN28" i="10"/>
  <c r="AM27" i="10"/>
  <c r="AQ27" i="10" s="1"/>
  <c r="AR27" i="10" s="1"/>
  <c r="AS27" i="10" s="1"/>
  <c r="CG26" i="10"/>
  <c r="CI26" i="10" s="1"/>
  <c r="T26" i="10"/>
  <c r="V26" i="10" s="1"/>
  <c r="W26" i="10" s="1"/>
  <c r="X26" i="10" s="1"/>
  <c r="BK24" i="10"/>
  <c r="BM24" i="10" s="1"/>
  <c r="BN24" i="10" s="1"/>
  <c r="BO24" i="10" s="1"/>
  <c r="CU22" i="10"/>
  <c r="AM21" i="10"/>
  <c r="AQ21" i="10" s="1"/>
  <c r="AR21" i="10" s="1"/>
  <c r="AS21" i="10" s="1"/>
  <c r="CG20" i="10"/>
  <c r="CI20" i="10" s="1"/>
  <c r="CJ20" i="10" s="1"/>
  <c r="CK20" i="10" s="1"/>
  <c r="T20" i="10"/>
  <c r="V20" i="10" s="1"/>
  <c r="W20" i="10" s="1"/>
  <c r="X20" i="10" s="1"/>
  <c r="BK18" i="10"/>
  <c r="BM18" i="10" s="1"/>
  <c r="BN18" i="10" s="1"/>
  <c r="BO18" i="10" s="1"/>
  <c r="CU16" i="10"/>
  <c r="AM15" i="10"/>
  <c r="AQ15" i="10" s="1"/>
  <c r="AR15" i="10" s="1"/>
  <c r="AS15" i="10" s="1"/>
  <c r="CG14" i="10"/>
  <c r="CI14" i="10" s="1"/>
  <c r="CJ14" i="10" s="1"/>
  <c r="CK14" i="10" s="1"/>
  <c r="T14" i="10"/>
  <c r="V14" i="10" s="1"/>
  <c r="W14" i="10" s="1"/>
  <c r="X14" i="10" s="1"/>
  <c r="BL12" i="10"/>
  <c r="BK11" i="10"/>
  <c r="BM11" i="10" s="1"/>
  <c r="BN11" i="10" s="1"/>
  <c r="BO11" i="10" s="1"/>
  <c r="CU9" i="10"/>
  <c r="AM8" i="10"/>
  <c r="AQ8" i="10" s="1"/>
  <c r="AR8" i="10" s="1"/>
  <c r="AS8" i="10" s="1"/>
  <c r="CG7" i="10"/>
  <c r="CI7" i="10" s="1"/>
  <c r="T7" i="10"/>
  <c r="V7" i="10" s="1"/>
  <c r="AM39" i="10"/>
  <c r="AQ39" i="10" s="1"/>
  <c r="AM32" i="10"/>
  <c r="AQ32" i="10" s="1"/>
  <c r="AR32" i="10" s="1"/>
  <c r="AS32" i="10" s="1"/>
  <c r="AM28" i="10"/>
  <c r="AQ28" i="10" s="1"/>
  <c r="AR28" i="10" s="1"/>
  <c r="AS28" i="10" s="1"/>
  <c r="BL19" i="10"/>
  <c r="AN16" i="10"/>
  <c r="AM33" i="10"/>
  <c r="AQ33" i="10" s="1"/>
  <c r="T27" i="10"/>
  <c r="V27" i="10" s="1"/>
  <c r="W27" i="10" s="1"/>
  <c r="X27" i="10" s="1"/>
  <c r="CU23" i="10"/>
  <c r="T15" i="10"/>
  <c r="V15" i="10" s="1"/>
  <c r="W15" i="10" s="1"/>
  <c r="X15" i="10" s="1"/>
  <c r="T8" i="10"/>
  <c r="V8" i="10" s="1"/>
  <c r="AN34" i="10"/>
  <c r="BK30" i="10"/>
  <c r="BM30" i="10" s="1"/>
  <c r="CH9" i="10"/>
  <c r="CV43" i="10"/>
  <c r="BL38" i="10"/>
  <c r="CG22" i="10"/>
  <c r="CI22" i="10" s="1"/>
  <c r="CJ22" i="10" s="1"/>
  <c r="CK22" i="10" s="1"/>
  <c r="AM17" i="10"/>
  <c r="AQ17" i="10" s="1"/>
  <c r="AR17" i="10" s="1"/>
  <c r="AS17" i="10" s="1"/>
  <c r="CV12" i="10"/>
  <c r="AM42" i="10"/>
  <c r="AQ42" i="10" s="1"/>
  <c r="AR42" i="10" s="1"/>
  <c r="AS42" i="10" s="1"/>
  <c r="CH23" i="10"/>
  <c r="CH17" i="10"/>
  <c r="BL8" i="10"/>
  <c r="BL28" i="10"/>
  <c r="T23" i="10"/>
  <c r="V23" i="10" s="1"/>
  <c r="W23" i="10" s="1"/>
  <c r="X23" i="10" s="1"/>
  <c r="AM18" i="10"/>
  <c r="AQ18" i="10" s="1"/>
  <c r="AR18" i="10" s="1"/>
  <c r="AS18" i="10" s="1"/>
  <c r="CV13" i="10"/>
  <c r="BK8" i="10"/>
  <c r="BM8" i="10" s="1"/>
  <c r="BN8" i="10" s="1"/>
  <c r="BO8" i="10" s="1"/>
  <c r="AM48" i="10"/>
  <c r="AQ48" i="10" s="1"/>
  <c r="CH46" i="10"/>
  <c r="U46" i="10"/>
  <c r="BK43" i="10"/>
  <c r="BM43" i="10" s="1"/>
  <c r="BN43" i="10" s="1"/>
  <c r="BO43" i="10" s="1"/>
  <c r="CV41" i="10"/>
  <c r="BL36" i="10"/>
  <c r="CH27" i="10"/>
  <c r="AN22" i="10"/>
  <c r="CV10" i="10"/>
  <c r="AM10" i="10"/>
  <c r="AQ10" i="10" s="1"/>
  <c r="AR10" i="10" s="1"/>
  <c r="AS10" i="10" s="1"/>
  <c r="CG23" i="10"/>
  <c r="CI23" i="10" s="1"/>
  <c r="CJ23" i="10" s="1"/>
  <c r="CK23" i="10" s="1"/>
  <c r="CG48" i="10"/>
  <c r="CI48" i="10" s="1"/>
  <c r="CJ48" i="10" s="1"/>
  <c r="CK48" i="10" s="1"/>
  <c r="AN41" i="10"/>
  <c r="U22" i="10"/>
  <c r="AN42" i="10"/>
  <c r="CU35" i="10"/>
  <c r="AM23" i="10"/>
  <c r="AQ23" i="10" s="1"/>
  <c r="AR23" i="10" s="1"/>
  <c r="AS23" i="10" s="1"/>
  <c r="CH34" i="10"/>
  <c r="U23" i="10"/>
  <c r="AN18" i="10"/>
  <c r="U10" i="10"/>
  <c r="T10" i="10"/>
  <c r="V10" i="10" s="1"/>
  <c r="W10" i="10" s="1"/>
  <c r="X10" i="10" s="1"/>
  <c r="CV56" i="1"/>
  <c r="CU57" i="1"/>
  <c r="CW57" i="1" s="1"/>
  <c r="CX57" i="1" s="1"/>
  <c r="CY57" i="1" s="1"/>
  <c r="CU58" i="1"/>
  <c r="CW58" i="1" s="1"/>
  <c r="CX58" i="1" s="1"/>
  <c r="CY58" i="1" s="1"/>
  <c r="CU60" i="1"/>
  <c r="CW60" i="1" s="1"/>
  <c r="CX60" i="1" s="1"/>
  <c r="CY60" i="1" s="1"/>
  <c r="CV57" i="1"/>
  <c r="CU61" i="1"/>
  <c r="CW61" i="1" s="1"/>
  <c r="CX61" i="1" s="1"/>
  <c r="CY61" i="1" s="1"/>
  <c r="CV58" i="1"/>
  <c r="CV61" i="1"/>
  <c r="CU59" i="1"/>
  <c r="CW59" i="1" s="1"/>
  <c r="CX59" i="1" s="1"/>
  <c r="CY59" i="1" s="1"/>
  <c r="CV59" i="1"/>
  <c r="CV60" i="1"/>
  <c r="CU56" i="1"/>
  <c r="CW56" i="1" s="1"/>
  <c r="CX56" i="1" s="1"/>
  <c r="CY56" i="1" s="1"/>
  <c r="CH57" i="1"/>
  <c r="CH60" i="1"/>
  <c r="CG61" i="1"/>
  <c r="CI61" i="1" s="1"/>
  <c r="CJ61" i="1" s="1"/>
  <c r="CK61" i="1" s="1"/>
  <c r="CG56" i="1"/>
  <c r="CI56" i="1" s="1"/>
  <c r="CG57" i="1"/>
  <c r="CI57" i="1" s="1"/>
  <c r="CH61" i="1"/>
  <c r="CG59" i="1"/>
  <c r="CI59" i="1" s="1"/>
  <c r="CJ59" i="1" s="1"/>
  <c r="CK59" i="1" s="1"/>
  <c r="CH62" i="1"/>
  <c r="CG58" i="1"/>
  <c r="CI58" i="1" s="1"/>
  <c r="CH59" i="1"/>
  <c r="CH58" i="1"/>
  <c r="CH56" i="1"/>
  <c r="CG60" i="1"/>
  <c r="CI60" i="1" s="1"/>
  <c r="CG62" i="1"/>
  <c r="CI62" i="1" s="1"/>
  <c r="CJ62" i="1" s="1"/>
  <c r="CK62" i="1" s="1"/>
  <c r="BK55" i="1"/>
  <c r="BM55" i="1" s="1"/>
  <c r="AN29" i="1"/>
  <c r="CV55" i="1"/>
  <c r="CG55" i="1"/>
  <c r="CI55" i="1" s="1"/>
  <c r="CJ55" i="1" s="1"/>
  <c r="CK55" i="1" s="1"/>
  <c r="BL55" i="1"/>
  <c r="CU55" i="1"/>
  <c r="CW55" i="1" s="1"/>
  <c r="CX55" i="1" s="1"/>
  <c r="CY55" i="1" s="1"/>
  <c r="CH55" i="1"/>
  <c r="AM29" i="1"/>
  <c r="AQ29" i="1" s="1"/>
  <c r="AR29" i="1" s="1"/>
  <c r="AS29" i="1" s="1"/>
  <c r="CU29" i="1"/>
  <c r="CW29" i="1" s="1"/>
  <c r="CX29" i="1" s="1"/>
  <c r="CY29" i="1" s="1"/>
  <c r="CV29" i="1"/>
  <c r="CG29" i="1"/>
  <c r="CI29" i="1" s="1"/>
  <c r="CJ29" i="1" s="1"/>
  <c r="CK29" i="1" s="1"/>
  <c r="CH29" i="1"/>
  <c r="BL29" i="1"/>
  <c r="BK29" i="1"/>
  <c r="BM29" i="1" s="1"/>
  <c r="BN29" i="1" s="1"/>
  <c r="BO29" i="1" s="1"/>
  <c r="CV19" i="1"/>
  <c r="CV37" i="1"/>
  <c r="CV49" i="1"/>
  <c r="CV89" i="1"/>
  <c r="CV101" i="1"/>
  <c r="CU14" i="1"/>
  <c r="CW14" i="1" s="1"/>
  <c r="CU26" i="1"/>
  <c r="CW26" i="1" s="1"/>
  <c r="CU44" i="1"/>
  <c r="CW44" i="1" s="1"/>
  <c r="CU84" i="1"/>
  <c r="CW84" i="1" s="1"/>
  <c r="CX84" i="1" s="1"/>
  <c r="CY84" i="1" s="1"/>
  <c r="CU96" i="1"/>
  <c r="CW96" i="1" s="1"/>
  <c r="CX96" i="1" s="1"/>
  <c r="CY96" i="1" s="1"/>
  <c r="CU85" i="1"/>
  <c r="CW85" i="1" s="1"/>
  <c r="CX85" i="1" s="1"/>
  <c r="CY85" i="1" s="1"/>
  <c r="CU35" i="1"/>
  <c r="CW35" i="1" s="1"/>
  <c r="CU48" i="1"/>
  <c r="CW48" i="1" s="1"/>
  <c r="CV12" i="1"/>
  <c r="CV106" i="1"/>
  <c r="CV14" i="1"/>
  <c r="CU21" i="1"/>
  <c r="CW21" i="1" s="1"/>
  <c r="CU41" i="1"/>
  <c r="CW41" i="1" s="1"/>
  <c r="CV47" i="1"/>
  <c r="CV18" i="1"/>
  <c r="CU83" i="1"/>
  <c r="CW83" i="1" s="1"/>
  <c r="CX83" i="1" s="1"/>
  <c r="CY83" i="1" s="1"/>
  <c r="CV8" i="1"/>
  <c r="CV20" i="1"/>
  <c r="CV38" i="1"/>
  <c r="CV50" i="1"/>
  <c r="CV90" i="1"/>
  <c r="CV102" i="1"/>
  <c r="CU15" i="1"/>
  <c r="CW15" i="1" s="1"/>
  <c r="CU27" i="1"/>
  <c r="CW27" i="1" s="1"/>
  <c r="CU45" i="1"/>
  <c r="CW45" i="1" s="1"/>
  <c r="CU97" i="1"/>
  <c r="CW97" i="1" s="1"/>
  <c r="CX97" i="1" s="1"/>
  <c r="CY97" i="1" s="1"/>
  <c r="CU87" i="1"/>
  <c r="CW87" i="1" s="1"/>
  <c r="CX87" i="1" s="1"/>
  <c r="CU100" i="1"/>
  <c r="CW100" i="1" s="1"/>
  <c r="CX100" i="1" s="1"/>
  <c r="CY100" i="1" s="1"/>
  <c r="CV94" i="1"/>
  <c r="CU89" i="1"/>
  <c r="CW89" i="1" s="1"/>
  <c r="CX89" i="1" s="1"/>
  <c r="CY89" i="1" s="1"/>
  <c r="CV84" i="1"/>
  <c r="CU91" i="1"/>
  <c r="CW91" i="1" s="1"/>
  <c r="CX91" i="1" s="1"/>
  <c r="CY91" i="1" s="1"/>
  <c r="CU93" i="1"/>
  <c r="CW93" i="1" s="1"/>
  <c r="CV99" i="1"/>
  <c r="CV88" i="1"/>
  <c r="CV9" i="1"/>
  <c r="CV21" i="1"/>
  <c r="CV39" i="1"/>
  <c r="CV51" i="1"/>
  <c r="CV91" i="1"/>
  <c r="CV103" i="1"/>
  <c r="CU16" i="1"/>
  <c r="CW16" i="1" s="1"/>
  <c r="CU28" i="1"/>
  <c r="CW28" i="1" s="1"/>
  <c r="CU46" i="1"/>
  <c r="CW46" i="1" s="1"/>
  <c r="CU86" i="1"/>
  <c r="CW86" i="1" s="1"/>
  <c r="CX86" i="1" s="1"/>
  <c r="CY86" i="1" s="1"/>
  <c r="CU98" i="1"/>
  <c r="CW98" i="1" s="1"/>
  <c r="CX98" i="1" s="1"/>
  <c r="CY98" i="1" s="1"/>
  <c r="CU17" i="1"/>
  <c r="CW17" i="1" s="1"/>
  <c r="CU47" i="1"/>
  <c r="CW47" i="1" s="1"/>
  <c r="CU88" i="1"/>
  <c r="CW88" i="1" s="1"/>
  <c r="CX88" i="1" s="1"/>
  <c r="CY88" i="1" s="1"/>
  <c r="CV54" i="1"/>
  <c r="CU19" i="1"/>
  <c r="CW19" i="1" s="1"/>
  <c r="CU101" i="1"/>
  <c r="CW101" i="1" s="1"/>
  <c r="CX101" i="1" s="1"/>
  <c r="CY101" i="1" s="1"/>
  <c r="CU9" i="1"/>
  <c r="CW9" i="1" s="1"/>
  <c r="CU23" i="1"/>
  <c r="CW23" i="1" s="1"/>
  <c r="CV87" i="1"/>
  <c r="CU106" i="1"/>
  <c r="CW106" i="1" s="1"/>
  <c r="CX106" i="1" s="1"/>
  <c r="CY106" i="1" s="1"/>
  <c r="CU43" i="1"/>
  <c r="CW43" i="1" s="1"/>
  <c r="CV10" i="1"/>
  <c r="CV22" i="1"/>
  <c r="CV40" i="1"/>
  <c r="CV52" i="1"/>
  <c r="CV92" i="1"/>
  <c r="CV104" i="1"/>
  <c r="CU99" i="1"/>
  <c r="CW99" i="1" s="1"/>
  <c r="CX99" i="1" s="1"/>
  <c r="CY99" i="1" s="1"/>
  <c r="CV24" i="1"/>
  <c r="CU37" i="1"/>
  <c r="CW37" i="1" s="1"/>
  <c r="CV26" i="1"/>
  <c r="CU51" i="1"/>
  <c r="CW51" i="1" s="1"/>
  <c r="CX51" i="1" s="1"/>
  <c r="CY51" i="1" s="1"/>
  <c r="CU105" i="1"/>
  <c r="CW105" i="1" s="1"/>
  <c r="CX105" i="1" s="1"/>
  <c r="CY105" i="1" s="1"/>
  <c r="CU24" i="1"/>
  <c r="CW24" i="1" s="1"/>
  <c r="CV36" i="1"/>
  <c r="CU95" i="1"/>
  <c r="CW95" i="1" s="1"/>
  <c r="CX95" i="1" s="1"/>
  <c r="CY95" i="1" s="1"/>
  <c r="CV11" i="1"/>
  <c r="CV23" i="1"/>
  <c r="CV41" i="1"/>
  <c r="CV53" i="1"/>
  <c r="CV93" i="1"/>
  <c r="CV105" i="1"/>
  <c r="CU18" i="1"/>
  <c r="CW18" i="1" s="1"/>
  <c r="CU36" i="1"/>
  <c r="CW36" i="1" s="1"/>
  <c r="CV42" i="1"/>
  <c r="CU49" i="1"/>
  <c r="CW49" i="1" s="1"/>
  <c r="CV44" i="1"/>
  <c r="CU39" i="1"/>
  <c r="CW39" i="1" s="1"/>
  <c r="CV17" i="1"/>
  <c r="CU54" i="1"/>
  <c r="CW54" i="1" s="1"/>
  <c r="CX54" i="1" s="1"/>
  <c r="CY54" i="1" s="1"/>
  <c r="CU25" i="1"/>
  <c r="CW25" i="1" s="1"/>
  <c r="CV13" i="1"/>
  <c r="CV25" i="1"/>
  <c r="CV43" i="1"/>
  <c r="CV83" i="1"/>
  <c r="CV95" i="1"/>
  <c r="CU8" i="1"/>
  <c r="CW8" i="1" s="1"/>
  <c r="CU20" i="1"/>
  <c r="CW20" i="1" s="1"/>
  <c r="CU38" i="1"/>
  <c r="CW38" i="1" s="1"/>
  <c r="CU50" i="1"/>
  <c r="CW50" i="1" s="1"/>
  <c r="CU90" i="1"/>
  <c r="CW90" i="1" s="1"/>
  <c r="CX90" i="1" s="1"/>
  <c r="CU102" i="1"/>
  <c r="CW102" i="1" s="1"/>
  <c r="CX102" i="1" s="1"/>
  <c r="CV96" i="1"/>
  <c r="CU103" i="1"/>
  <c r="CW103" i="1" s="1"/>
  <c r="CX103" i="1" s="1"/>
  <c r="CY103" i="1" s="1"/>
  <c r="CV35" i="1"/>
  <c r="CU94" i="1"/>
  <c r="CW94" i="1" s="1"/>
  <c r="CX94" i="1" s="1"/>
  <c r="CY94" i="1" s="1"/>
  <c r="CU13" i="1"/>
  <c r="CW13" i="1" s="1"/>
  <c r="CV15" i="1"/>
  <c r="CV27" i="1"/>
  <c r="CV45" i="1"/>
  <c r="CV85" i="1"/>
  <c r="CV97" i="1"/>
  <c r="CU10" i="1"/>
  <c r="CW10" i="1" s="1"/>
  <c r="CU22" i="1"/>
  <c r="CW22" i="1" s="1"/>
  <c r="CU40" i="1"/>
  <c r="CW40" i="1" s="1"/>
  <c r="CU52" i="1"/>
  <c r="CW52" i="1" s="1"/>
  <c r="CX52" i="1" s="1"/>
  <c r="CY52" i="1" s="1"/>
  <c r="CU92" i="1"/>
  <c r="CW92" i="1" s="1"/>
  <c r="CX92" i="1" s="1"/>
  <c r="CY92" i="1" s="1"/>
  <c r="CU104" i="1"/>
  <c r="CW104" i="1" s="1"/>
  <c r="CX104" i="1" s="1"/>
  <c r="CY104" i="1" s="1"/>
  <c r="CU53" i="1"/>
  <c r="CW53" i="1" s="1"/>
  <c r="CX53" i="1" s="1"/>
  <c r="CY53" i="1" s="1"/>
  <c r="CU12" i="1"/>
  <c r="CW12" i="1" s="1"/>
  <c r="CV48" i="1"/>
  <c r="CV16" i="1"/>
  <c r="CV28" i="1"/>
  <c r="CV46" i="1"/>
  <c r="CV86" i="1"/>
  <c r="CV98" i="1"/>
  <c r="CU11" i="1"/>
  <c r="CW11" i="1" s="1"/>
  <c r="CU42" i="1"/>
  <c r="CW42" i="1" s="1"/>
  <c r="CV100" i="1"/>
  <c r="CH8" i="1"/>
  <c r="CH20" i="1"/>
  <c r="CH38" i="1"/>
  <c r="CH50" i="1"/>
  <c r="CH90" i="1"/>
  <c r="CH102" i="1"/>
  <c r="CG15" i="1"/>
  <c r="CG27" i="1"/>
  <c r="CI27" i="1" s="1"/>
  <c r="CJ27" i="1" s="1"/>
  <c r="CK27" i="1" s="1"/>
  <c r="CG45" i="1"/>
  <c r="CI45" i="1" s="1"/>
  <c r="CJ45" i="1" s="1"/>
  <c r="CK45" i="1" s="1"/>
  <c r="CG85" i="1"/>
  <c r="CI85" i="1" s="1"/>
  <c r="CJ85" i="1" s="1"/>
  <c r="CK85" i="1" s="1"/>
  <c r="CG97" i="1"/>
  <c r="BL10" i="1"/>
  <c r="BL22" i="1"/>
  <c r="BL40" i="1"/>
  <c r="BL52" i="1"/>
  <c r="BL92" i="1"/>
  <c r="BL104" i="1"/>
  <c r="BK17" i="1"/>
  <c r="BM17" i="1" s="1"/>
  <c r="BN17" i="1" s="1"/>
  <c r="BO17" i="1" s="1"/>
  <c r="BK35" i="1"/>
  <c r="BM35" i="1" s="1"/>
  <c r="BN35" i="1" s="1"/>
  <c r="BO35" i="1" s="1"/>
  <c r="BK47" i="1"/>
  <c r="BM47" i="1" s="1"/>
  <c r="BN47" i="1" s="1"/>
  <c r="BO47" i="1" s="1"/>
  <c r="BK87" i="1"/>
  <c r="BM87" i="1" s="1"/>
  <c r="BN87" i="1" s="1"/>
  <c r="BO87" i="1" s="1"/>
  <c r="BK99" i="1"/>
  <c r="BM99" i="1" s="1"/>
  <c r="BN99" i="1" s="1"/>
  <c r="BO99" i="1" s="1"/>
  <c r="U12" i="1"/>
  <c r="U24" i="1"/>
  <c r="U42" i="1"/>
  <c r="U54" i="1"/>
  <c r="U94" i="1"/>
  <c r="U106" i="1"/>
  <c r="T19" i="1"/>
  <c r="V19" i="1" s="1"/>
  <c r="W19" i="1" s="1"/>
  <c r="X19" i="1" s="1"/>
  <c r="T37" i="1"/>
  <c r="V37" i="1" s="1"/>
  <c r="W37" i="1" s="1"/>
  <c r="X37" i="1" s="1"/>
  <c r="T49" i="1"/>
  <c r="V49" i="1" s="1"/>
  <c r="W49" i="1" s="1"/>
  <c r="X49" i="1" s="1"/>
  <c r="T89" i="1"/>
  <c r="V89" i="1" s="1"/>
  <c r="W89" i="1" s="1"/>
  <c r="X89" i="1" s="1"/>
  <c r="T101" i="1"/>
  <c r="V101" i="1" s="1"/>
  <c r="W101" i="1" s="1"/>
  <c r="X101" i="1" s="1"/>
  <c r="AM97" i="1"/>
  <c r="AQ97" i="1" s="1"/>
  <c r="AM51" i="1"/>
  <c r="AQ51" i="1" s="1"/>
  <c r="AM91" i="1"/>
  <c r="AQ91" i="1" s="1"/>
  <c r="AR91" i="1" s="1"/>
  <c r="AS91" i="1" s="1"/>
  <c r="AM39" i="1"/>
  <c r="AQ39" i="1" s="1"/>
  <c r="AM40" i="1"/>
  <c r="AQ40" i="1" s="1"/>
  <c r="AR40" i="1" s="1"/>
  <c r="AS40" i="1" s="1"/>
  <c r="CH54" i="1"/>
  <c r="CH94" i="1"/>
  <c r="CG37" i="1"/>
  <c r="CI37" i="1" s="1"/>
  <c r="CJ37" i="1" s="1"/>
  <c r="CK37" i="1" s="1"/>
  <c r="BL44" i="1"/>
  <c r="BK21" i="1"/>
  <c r="BM21" i="1" s="1"/>
  <c r="BN21" i="1" s="1"/>
  <c r="BO21" i="1" s="1"/>
  <c r="BK103" i="1"/>
  <c r="BM103" i="1" s="1"/>
  <c r="BN103" i="1" s="1"/>
  <c r="BO103" i="1" s="1"/>
  <c r="U86" i="1"/>
  <c r="T23" i="1"/>
  <c r="V23" i="1" s="1"/>
  <c r="W23" i="1" s="1"/>
  <c r="X23" i="1" s="1"/>
  <c r="T105" i="1"/>
  <c r="V105" i="1" s="1"/>
  <c r="W105" i="1" s="1"/>
  <c r="X105" i="1" s="1"/>
  <c r="AM43" i="1"/>
  <c r="AQ43" i="1" s="1"/>
  <c r="AR43" i="1" s="1"/>
  <c r="AS43" i="1" s="1"/>
  <c r="CH43" i="1"/>
  <c r="CG8" i="1"/>
  <c r="CI8" i="1" s="1"/>
  <c r="CJ8" i="1" s="1"/>
  <c r="CK8" i="1" s="1"/>
  <c r="CG38" i="1"/>
  <c r="CI38" i="1" s="1"/>
  <c r="CJ38" i="1" s="1"/>
  <c r="CK38" i="1" s="1"/>
  <c r="BL15" i="1"/>
  <c r="BL97" i="1"/>
  <c r="BK52" i="1"/>
  <c r="BM52" i="1" s="1"/>
  <c r="BN52" i="1" s="1"/>
  <c r="BO52" i="1" s="1"/>
  <c r="U17" i="1"/>
  <c r="U99" i="1"/>
  <c r="T54" i="1"/>
  <c r="V54" i="1" s="1"/>
  <c r="W54" i="1" s="1"/>
  <c r="X54" i="1" s="1"/>
  <c r="AM96" i="1"/>
  <c r="AQ96" i="1" s="1"/>
  <c r="U49" i="1"/>
  <c r="T84" i="1"/>
  <c r="V84" i="1" s="1"/>
  <c r="W84" i="1" s="1"/>
  <c r="X84" i="1" s="1"/>
  <c r="T7" i="1"/>
  <c r="V7" i="1" s="1"/>
  <c r="BL21" i="1"/>
  <c r="BK46" i="1"/>
  <c r="BM46" i="1" s="1"/>
  <c r="U105" i="1"/>
  <c r="T100" i="1"/>
  <c r="V100" i="1" s="1"/>
  <c r="W100" i="1" s="1"/>
  <c r="X100" i="1" s="1"/>
  <c r="AM50" i="1"/>
  <c r="AQ50" i="1" s="1"/>
  <c r="AR50" i="1" s="1"/>
  <c r="AS50" i="1" s="1"/>
  <c r="CH9" i="1"/>
  <c r="CH21" i="1"/>
  <c r="CH39" i="1"/>
  <c r="CH51" i="1"/>
  <c r="CH91" i="1"/>
  <c r="CH103" i="1"/>
  <c r="CG16" i="1"/>
  <c r="CG28" i="1"/>
  <c r="CI28" i="1" s="1"/>
  <c r="CJ28" i="1" s="1"/>
  <c r="CK28" i="1" s="1"/>
  <c r="CG46" i="1"/>
  <c r="CI46" i="1" s="1"/>
  <c r="CJ46" i="1" s="1"/>
  <c r="CK46" i="1" s="1"/>
  <c r="CG86" i="1"/>
  <c r="CI86" i="1" s="1"/>
  <c r="CJ86" i="1" s="1"/>
  <c r="CK86" i="1" s="1"/>
  <c r="CG98" i="1"/>
  <c r="CI98" i="1" s="1"/>
  <c r="CJ98" i="1" s="1"/>
  <c r="CK98" i="1" s="1"/>
  <c r="BL11" i="1"/>
  <c r="BL23" i="1"/>
  <c r="BL41" i="1"/>
  <c r="BL53" i="1"/>
  <c r="BL93" i="1"/>
  <c r="BL105" i="1"/>
  <c r="BK18" i="1"/>
  <c r="BM18" i="1" s="1"/>
  <c r="BN18" i="1" s="1"/>
  <c r="BO18" i="1" s="1"/>
  <c r="BK36" i="1"/>
  <c r="BM36" i="1" s="1"/>
  <c r="BN36" i="1" s="1"/>
  <c r="BO36" i="1" s="1"/>
  <c r="BK48" i="1"/>
  <c r="BM48" i="1" s="1"/>
  <c r="BN48" i="1" s="1"/>
  <c r="BO48" i="1" s="1"/>
  <c r="BK88" i="1"/>
  <c r="BM88" i="1" s="1"/>
  <c r="BK100" i="1"/>
  <c r="BM100" i="1" s="1"/>
  <c r="BN100" i="1" s="1"/>
  <c r="BO100" i="1" s="1"/>
  <c r="U13" i="1"/>
  <c r="U25" i="1"/>
  <c r="U43" i="1"/>
  <c r="U83" i="1"/>
  <c r="U95" i="1"/>
  <c r="T8" i="1"/>
  <c r="V8" i="1" s="1"/>
  <c r="W8" i="1" s="1"/>
  <c r="X8" i="1" s="1"/>
  <c r="T20" i="1"/>
  <c r="V20" i="1" s="1"/>
  <c r="W20" i="1" s="1"/>
  <c r="X20" i="1" s="1"/>
  <c r="T38" i="1"/>
  <c r="V38" i="1" s="1"/>
  <c r="W38" i="1" s="1"/>
  <c r="X38" i="1" s="1"/>
  <c r="T50" i="1"/>
  <c r="V50" i="1" s="1"/>
  <c r="W50" i="1" s="1"/>
  <c r="X50" i="1" s="1"/>
  <c r="T90" i="1"/>
  <c r="V90" i="1" s="1"/>
  <c r="W90" i="1" s="1"/>
  <c r="X90" i="1" s="1"/>
  <c r="T102" i="1"/>
  <c r="V102" i="1" s="1"/>
  <c r="W102" i="1" s="1"/>
  <c r="X102" i="1" s="1"/>
  <c r="AM98" i="1"/>
  <c r="AQ98" i="1" s="1"/>
  <c r="AM52" i="1"/>
  <c r="AQ52" i="1" s="1"/>
  <c r="AR52" i="1" s="1"/>
  <c r="AS52" i="1" s="1"/>
  <c r="AM92" i="1"/>
  <c r="AQ92" i="1" s="1"/>
  <c r="AR92" i="1" s="1"/>
  <c r="AS92" i="1" s="1"/>
  <c r="CH42" i="1"/>
  <c r="CG49" i="1"/>
  <c r="CI49" i="1" s="1"/>
  <c r="CJ49" i="1" s="1"/>
  <c r="CK49" i="1" s="1"/>
  <c r="BL84" i="1"/>
  <c r="BK39" i="1"/>
  <c r="BM39" i="1" s="1"/>
  <c r="BN39" i="1" s="1"/>
  <c r="BO39" i="1" s="1"/>
  <c r="U46" i="1"/>
  <c r="T41" i="1"/>
  <c r="V41" i="1" s="1"/>
  <c r="W41" i="1" s="1"/>
  <c r="X41" i="1" s="1"/>
  <c r="AM95" i="1"/>
  <c r="AQ95" i="1" s="1"/>
  <c r="CH83" i="1"/>
  <c r="CG90" i="1"/>
  <c r="CI90" i="1" s="1"/>
  <c r="CJ90" i="1" s="1"/>
  <c r="CK90" i="1" s="1"/>
  <c r="BL27" i="1"/>
  <c r="BK10" i="1"/>
  <c r="BM10" i="1" s="1"/>
  <c r="BN10" i="1" s="1"/>
  <c r="BO10" i="1" s="1"/>
  <c r="BK92" i="1"/>
  <c r="BM92" i="1" s="1"/>
  <c r="BN92" i="1" s="1"/>
  <c r="BO92" i="1" s="1"/>
  <c r="U87" i="1"/>
  <c r="T42" i="1"/>
  <c r="V42" i="1" s="1"/>
  <c r="W42" i="1" s="1"/>
  <c r="X42" i="1" s="1"/>
  <c r="AM102" i="1"/>
  <c r="AQ102" i="1" s="1"/>
  <c r="U101" i="1"/>
  <c r="AM28" i="1"/>
  <c r="AQ28" i="1" s="1"/>
  <c r="AR28" i="1" s="1"/>
  <c r="AS28" i="1" s="1"/>
  <c r="BK28" i="1"/>
  <c r="BM28" i="1" s="1"/>
  <c r="BN28" i="1" s="1"/>
  <c r="BO28" i="1" s="1"/>
  <c r="T18" i="1"/>
  <c r="V18" i="1" s="1"/>
  <c r="W18" i="1" s="1"/>
  <c r="X18" i="1" s="1"/>
  <c r="AM90" i="1"/>
  <c r="AQ90" i="1" s="1"/>
  <c r="AR90" i="1" s="1"/>
  <c r="AS90" i="1" s="1"/>
  <c r="CH10" i="1"/>
  <c r="CH22" i="1"/>
  <c r="CH40" i="1"/>
  <c r="CH52" i="1"/>
  <c r="CH92" i="1"/>
  <c r="CH104" i="1"/>
  <c r="CG17" i="1"/>
  <c r="CI17" i="1" s="1"/>
  <c r="CJ17" i="1" s="1"/>
  <c r="CK17" i="1" s="1"/>
  <c r="CG35" i="1"/>
  <c r="CI35" i="1" s="1"/>
  <c r="CJ35" i="1" s="1"/>
  <c r="CK35" i="1" s="1"/>
  <c r="CG47" i="1"/>
  <c r="CI47" i="1" s="1"/>
  <c r="CJ47" i="1" s="1"/>
  <c r="CK47" i="1" s="1"/>
  <c r="CG87" i="1"/>
  <c r="CI87" i="1" s="1"/>
  <c r="CJ87" i="1" s="1"/>
  <c r="CK87" i="1" s="1"/>
  <c r="CG99" i="1"/>
  <c r="CI99" i="1" s="1"/>
  <c r="CJ99" i="1" s="1"/>
  <c r="CK99" i="1" s="1"/>
  <c r="BL12" i="1"/>
  <c r="BL24" i="1"/>
  <c r="BL42" i="1"/>
  <c r="BL54" i="1"/>
  <c r="BL94" i="1"/>
  <c r="BL106" i="1"/>
  <c r="BK19" i="1"/>
  <c r="BM19" i="1" s="1"/>
  <c r="BN19" i="1" s="1"/>
  <c r="BO19" i="1" s="1"/>
  <c r="BK37" i="1"/>
  <c r="BM37" i="1" s="1"/>
  <c r="BN37" i="1" s="1"/>
  <c r="BO37" i="1" s="1"/>
  <c r="BK49" i="1"/>
  <c r="BM49" i="1" s="1"/>
  <c r="BN49" i="1" s="1"/>
  <c r="BO49" i="1" s="1"/>
  <c r="BK89" i="1"/>
  <c r="BM89" i="1" s="1"/>
  <c r="BN89" i="1" s="1"/>
  <c r="BO89" i="1" s="1"/>
  <c r="BK101" i="1"/>
  <c r="BM101" i="1" s="1"/>
  <c r="BN101" i="1" s="1"/>
  <c r="BO101" i="1" s="1"/>
  <c r="U14" i="1"/>
  <c r="U26" i="1"/>
  <c r="U44" i="1"/>
  <c r="U84" i="1"/>
  <c r="U96" i="1"/>
  <c r="T9" i="1"/>
  <c r="V9" i="1" s="1"/>
  <c r="W9" i="1" s="1"/>
  <c r="X9" i="1" s="1"/>
  <c r="T21" i="1"/>
  <c r="V21" i="1" s="1"/>
  <c r="W21" i="1" s="1"/>
  <c r="X21" i="1" s="1"/>
  <c r="T39" i="1"/>
  <c r="V39" i="1" s="1"/>
  <c r="W39" i="1" s="1"/>
  <c r="X39" i="1" s="1"/>
  <c r="T51" i="1"/>
  <c r="V51" i="1" s="1"/>
  <c r="W51" i="1" s="1"/>
  <c r="X51" i="1" s="1"/>
  <c r="T91" i="1"/>
  <c r="V91" i="1" s="1"/>
  <c r="W91" i="1" s="1"/>
  <c r="X91" i="1" s="1"/>
  <c r="T103" i="1"/>
  <c r="V103" i="1" s="1"/>
  <c r="W103" i="1" s="1"/>
  <c r="X103" i="1" s="1"/>
  <c r="AM99" i="1"/>
  <c r="AQ99" i="1" s="1"/>
  <c r="AM53" i="1"/>
  <c r="AQ53" i="1" s="1"/>
  <c r="AR53" i="1" s="1"/>
  <c r="AS53" i="1" s="1"/>
  <c r="AM93" i="1"/>
  <c r="AQ93" i="1" s="1"/>
  <c r="AR93" i="1" s="1"/>
  <c r="AS93" i="1" s="1"/>
  <c r="AM41" i="1"/>
  <c r="AQ41" i="1" s="1"/>
  <c r="AR41" i="1" s="1"/>
  <c r="AS41" i="1" s="1"/>
  <c r="AM54" i="1"/>
  <c r="AQ54" i="1" s="1"/>
  <c r="AR54" i="1" s="1"/>
  <c r="AS54" i="1" s="1"/>
  <c r="AM42" i="1"/>
  <c r="AQ42" i="1" s="1"/>
  <c r="AR42" i="1" s="1"/>
  <c r="AS42" i="1" s="1"/>
  <c r="CH12" i="1"/>
  <c r="CH106" i="1"/>
  <c r="CG101" i="1"/>
  <c r="CI101" i="1" s="1"/>
  <c r="CJ101" i="1" s="1"/>
  <c r="CK101" i="1" s="1"/>
  <c r="BL14" i="1"/>
  <c r="BL96" i="1"/>
  <c r="BK51" i="1"/>
  <c r="BM51" i="1" s="1"/>
  <c r="BN51" i="1" s="1"/>
  <c r="BO51" i="1" s="1"/>
  <c r="U28" i="1"/>
  <c r="T11" i="1"/>
  <c r="V11" i="1" s="1"/>
  <c r="W11" i="1" s="1"/>
  <c r="X11" i="1" s="1"/>
  <c r="T53" i="1"/>
  <c r="V53" i="1" s="1"/>
  <c r="W53" i="1" s="1"/>
  <c r="X53" i="1" s="1"/>
  <c r="AM83" i="1"/>
  <c r="AQ83" i="1" s="1"/>
  <c r="AR83" i="1" s="1"/>
  <c r="AS83" i="1" s="1"/>
  <c r="CH13" i="1"/>
  <c r="CG20" i="1"/>
  <c r="CI20" i="1" s="1"/>
  <c r="CJ20" i="1" s="1"/>
  <c r="CK20" i="1" s="1"/>
  <c r="CG102" i="1"/>
  <c r="CI102" i="1" s="1"/>
  <c r="CJ102" i="1" s="1"/>
  <c r="CK102" i="1" s="1"/>
  <c r="BL85" i="1"/>
  <c r="BK40" i="1"/>
  <c r="BM40" i="1" s="1"/>
  <c r="BN40" i="1" s="1"/>
  <c r="BO40" i="1" s="1"/>
  <c r="U47" i="1"/>
  <c r="T12" i="1"/>
  <c r="V12" i="1" s="1"/>
  <c r="W12" i="1" s="1"/>
  <c r="X12" i="1" s="1"/>
  <c r="T94" i="1"/>
  <c r="V94" i="1" s="1"/>
  <c r="W94" i="1" s="1"/>
  <c r="X94" i="1" s="1"/>
  <c r="AM84" i="1"/>
  <c r="AQ84" i="1" s="1"/>
  <c r="AR84" i="1" s="1"/>
  <c r="AS84" i="1" s="1"/>
  <c r="U89" i="1"/>
  <c r="T96" i="1"/>
  <c r="V96" i="1" s="1"/>
  <c r="W96" i="1" s="1"/>
  <c r="X96" i="1" s="1"/>
  <c r="AM86" i="1"/>
  <c r="AQ86" i="1" s="1"/>
  <c r="AR86" i="1" s="1"/>
  <c r="AS86" i="1" s="1"/>
  <c r="CG96" i="1"/>
  <c r="BL91" i="1"/>
  <c r="U11" i="1"/>
  <c r="T36" i="1"/>
  <c r="V36" i="1" s="1"/>
  <c r="W36" i="1" s="1"/>
  <c r="X36" i="1" s="1"/>
  <c r="AM38" i="1"/>
  <c r="AQ38" i="1" s="1"/>
  <c r="AR38" i="1" s="1"/>
  <c r="AS38" i="1" s="1"/>
  <c r="CH11" i="1"/>
  <c r="CH23" i="1"/>
  <c r="CH41" i="1"/>
  <c r="CH53" i="1"/>
  <c r="CH93" i="1"/>
  <c r="CH105" i="1"/>
  <c r="CG18" i="1"/>
  <c r="CI18" i="1" s="1"/>
  <c r="CJ18" i="1" s="1"/>
  <c r="CK18" i="1" s="1"/>
  <c r="CG36" i="1"/>
  <c r="CI36" i="1" s="1"/>
  <c r="CJ36" i="1" s="1"/>
  <c r="CK36" i="1" s="1"/>
  <c r="CG48" i="1"/>
  <c r="CI48" i="1" s="1"/>
  <c r="CJ48" i="1" s="1"/>
  <c r="CK48" i="1" s="1"/>
  <c r="CG88" i="1"/>
  <c r="CI88" i="1" s="1"/>
  <c r="CJ88" i="1" s="1"/>
  <c r="CK88" i="1" s="1"/>
  <c r="CG100" i="1"/>
  <c r="CI100" i="1" s="1"/>
  <c r="CJ100" i="1" s="1"/>
  <c r="CK100" i="1" s="1"/>
  <c r="BL13" i="1"/>
  <c r="BL25" i="1"/>
  <c r="BL43" i="1"/>
  <c r="BL83" i="1"/>
  <c r="BL95" i="1"/>
  <c r="BK8" i="1"/>
  <c r="BM8" i="1" s="1"/>
  <c r="BK20" i="1"/>
  <c r="BM20" i="1" s="1"/>
  <c r="BN20" i="1" s="1"/>
  <c r="BO20" i="1" s="1"/>
  <c r="BK38" i="1"/>
  <c r="BM38" i="1" s="1"/>
  <c r="BN38" i="1" s="1"/>
  <c r="BO38" i="1" s="1"/>
  <c r="BK50" i="1"/>
  <c r="BM50" i="1" s="1"/>
  <c r="BN50" i="1" s="1"/>
  <c r="BO50" i="1" s="1"/>
  <c r="BK90" i="1"/>
  <c r="BM90" i="1" s="1"/>
  <c r="BN90" i="1" s="1"/>
  <c r="BO90" i="1" s="1"/>
  <c r="BK102" i="1"/>
  <c r="BM102" i="1" s="1"/>
  <c r="BN102" i="1" s="1"/>
  <c r="BO102" i="1" s="1"/>
  <c r="U15" i="1"/>
  <c r="U27" i="1"/>
  <c r="U45" i="1"/>
  <c r="U85" i="1"/>
  <c r="U97" i="1"/>
  <c r="T10" i="1"/>
  <c r="V10" i="1" s="1"/>
  <c r="W10" i="1" s="1"/>
  <c r="X10" i="1" s="1"/>
  <c r="T22" i="1"/>
  <c r="V22" i="1" s="1"/>
  <c r="W22" i="1" s="1"/>
  <c r="X22" i="1" s="1"/>
  <c r="T40" i="1"/>
  <c r="V40" i="1" s="1"/>
  <c r="W40" i="1" s="1"/>
  <c r="X40" i="1" s="1"/>
  <c r="T52" i="1"/>
  <c r="V52" i="1" s="1"/>
  <c r="W52" i="1" s="1"/>
  <c r="X52" i="1" s="1"/>
  <c r="T92" i="1"/>
  <c r="V92" i="1" s="1"/>
  <c r="W92" i="1" s="1"/>
  <c r="X92" i="1" s="1"/>
  <c r="T104" i="1"/>
  <c r="V104" i="1" s="1"/>
  <c r="W104" i="1" s="1"/>
  <c r="X104" i="1" s="1"/>
  <c r="AM100" i="1"/>
  <c r="AQ100" i="1" s="1"/>
  <c r="AR100" i="1" s="1"/>
  <c r="AS100" i="1" s="1"/>
  <c r="AM94" i="1"/>
  <c r="AQ94" i="1" s="1"/>
  <c r="AR94" i="1" s="1"/>
  <c r="AS94" i="1" s="1"/>
  <c r="CH24" i="1"/>
  <c r="CG19" i="1"/>
  <c r="CI19" i="1" s="1"/>
  <c r="CJ19" i="1" s="1"/>
  <c r="CK19" i="1" s="1"/>
  <c r="CG89" i="1"/>
  <c r="CI89" i="1" s="1"/>
  <c r="CJ89" i="1" s="1"/>
  <c r="CK89" i="1" s="1"/>
  <c r="BL26" i="1"/>
  <c r="BK9" i="1"/>
  <c r="BM9" i="1" s="1"/>
  <c r="BN9" i="1" s="1"/>
  <c r="BO9" i="1" s="1"/>
  <c r="BK91" i="1"/>
  <c r="BM91" i="1" s="1"/>
  <c r="BN91" i="1" s="1"/>
  <c r="BO91" i="1" s="1"/>
  <c r="U16" i="1"/>
  <c r="U98" i="1"/>
  <c r="T93" i="1"/>
  <c r="V93" i="1" s="1"/>
  <c r="W93" i="1" s="1"/>
  <c r="X93" i="1" s="1"/>
  <c r="AM101" i="1"/>
  <c r="AQ101" i="1" s="1"/>
  <c r="CH25" i="1"/>
  <c r="CH95" i="1"/>
  <c r="CG50" i="1"/>
  <c r="CI50" i="1" s="1"/>
  <c r="CJ50" i="1" s="1"/>
  <c r="CK50" i="1" s="1"/>
  <c r="BL45" i="1"/>
  <c r="BK22" i="1"/>
  <c r="BM22" i="1" s="1"/>
  <c r="BN22" i="1" s="1"/>
  <c r="BO22" i="1" s="1"/>
  <c r="BK104" i="1"/>
  <c r="BM104" i="1" s="1"/>
  <c r="BN104" i="1" s="1"/>
  <c r="BO104" i="1" s="1"/>
  <c r="U35" i="1"/>
  <c r="T24" i="1"/>
  <c r="V24" i="1" s="1"/>
  <c r="W24" i="1" s="1"/>
  <c r="X24" i="1" s="1"/>
  <c r="T106" i="1"/>
  <c r="V106" i="1" s="1"/>
  <c r="W106" i="1" s="1"/>
  <c r="X106" i="1" s="1"/>
  <c r="AM44" i="1"/>
  <c r="AQ44" i="1" s="1"/>
  <c r="AR44" i="1" s="1"/>
  <c r="AS44" i="1" s="1"/>
  <c r="T26" i="1"/>
  <c r="V26" i="1" s="1"/>
  <c r="W26" i="1" s="1"/>
  <c r="X26" i="1" s="1"/>
  <c r="AM104" i="1"/>
  <c r="AQ104" i="1" s="1"/>
  <c r="CG84" i="1"/>
  <c r="CI84" i="1" s="1"/>
  <c r="CJ84" i="1" s="1"/>
  <c r="CK84" i="1" s="1"/>
  <c r="BL103" i="1"/>
  <c r="U53" i="1"/>
  <c r="CH14" i="1"/>
  <c r="CH26" i="1"/>
  <c r="CH44" i="1"/>
  <c r="CH84" i="1"/>
  <c r="CH96" i="1"/>
  <c r="CG9" i="1"/>
  <c r="CI9" i="1" s="1"/>
  <c r="CJ9" i="1" s="1"/>
  <c r="CK9" i="1" s="1"/>
  <c r="CG21" i="1"/>
  <c r="CG39" i="1"/>
  <c r="CG51" i="1"/>
  <c r="CG91" i="1"/>
  <c r="CI91" i="1" s="1"/>
  <c r="CJ91" i="1" s="1"/>
  <c r="CK91" i="1" s="1"/>
  <c r="CG103" i="1"/>
  <c r="CI103" i="1" s="1"/>
  <c r="CJ103" i="1" s="1"/>
  <c r="CK103" i="1" s="1"/>
  <c r="BL16" i="1"/>
  <c r="BL28" i="1"/>
  <c r="BL46" i="1"/>
  <c r="BL86" i="1"/>
  <c r="BL98" i="1"/>
  <c r="BK11" i="1"/>
  <c r="BM11" i="1" s="1"/>
  <c r="BN11" i="1" s="1"/>
  <c r="BO11" i="1" s="1"/>
  <c r="BK23" i="1"/>
  <c r="BM23" i="1" s="1"/>
  <c r="BN23" i="1" s="1"/>
  <c r="BO23" i="1" s="1"/>
  <c r="BK41" i="1"/>
  <c r="BM41" i="1" s="1"/>
  <c r="BN41" i="1" s="1"/>
  <c r="BO41" i="1" s="1"/>
  <c r="BK53" i="1"/>
  <c r="BM53" i="1" s="1"/>
  <c r="BN53" i="1" s="1"/>
  <c r="BO53" i="1" s="1"/>
  <c r="BK93" i="1"/>
  <c r="BM93" i="1" s="1"/>
  <c r="BN93" i="1" s="1"/>
  <c r="BO93" i="1" s="1"/>
  <c r="BK105" i="1"/>
  <c r="BM105" i="1" s="1"/>
  <c r="BN105" i="1" s="1"/>
  <c r="BO105" i="1" s="1"/>
  <c r="U18" i="1"/>
  <c r="U36" i="1"/>
  <c r="U48" i="1"/>
  <c r="U88" i="1"/>
  <c r="U100" i="1"/>
  <c r="T13" i="1"/>
  <c r="V13" i="1" s="1"/>
  <c r="W13" i="1" s="1"/>
  <c r="X13" i="1" s="1"/>
  <c r="T25" i="1"/>
  <c r="V25" i="1" s="1"/>
  <c r="W25" i="1" s="1"/>
  <c r="X25" i="1" s="1"/>
  <c r="T43" i="1"/>
  <c r="V43" i="1" s="1"/>
  <c r="W43" i="1" s="1"/>
  <c r="X43" i="1" s="1"/>
  <c r="T83" i="1"/>
  <c r="V83" i="1" s="1"/>
  <c r="W83" i="1" s="1"/>
  <c r="X83" i="1" s="1"/>
  <c r="T95" i="1"/>
  <c r="V95" i="1" s="1"/>
  <c r="W95" i="1" s="1"/>
  <c r="X95" i="1" s="1"/>
  <c r="U7" i="1"/>
  <c r="AM103" i="1"/>
  <c r="AQ103" i="1" s="1"/>
  <c r="AR103" i="1" s="1"/>
  <c r="AS103" i="1" s="1"/>
  <c r="AM85" i="1"/>
  <c r="AQ85" i="1" s="1"/>
  <c r="AM27" i="1"/>
  <c r="AQ27" i="1" s="1"/>
  <c r="AR27" i="1" s="1"/>
  <c r="AS27" i="1" s="1"/>
  <c r="AM45" i="1"/>
  <c r="AQ45" i="1" s="1"/>
  <c r="AR45" i="1" s="1"/>
  <c r="AS45" i="1" s="1"/>
  <c r="CH15" i="1"/>
  <c r="CH27" i="1"/>
  <c r="CH45" i="1"/>
  <c r="CH85" i="1"/>
  <c r="CH97" i="1"/>
  <c r="CG10" i="1"/>
  <c r="CI10" i="1" s="1"/>
  <c r="CJ10" i="1" s="1"/>
  <c r="CK10" i="1" s="1"/>
  <c r="CG22" i="1"/>
  <c r="CG40" i="1"/>
  <c r="CI40" i="1" s="1"/>
  <c r="CJ40" i="1" s="1"/>
  <c r="CK40" i="1" s="1"/>
  <c r="CG52" i="1"/>
  <c r="CI52" i="1" s="1"/>
  <c r="CJ52" i="1" s="1"/>
  <c r="CK52" i="1" s="1"/>
  <c r="CG92" i="1"/>
  <c r="CI92" i="1" s="1"/>
  <c r="CJ92" i="1" s="1"/>
  <c r="CK92" i="1" s="1"/>
  <c r="CG104" i="1"/>
  <c r="BL17" i="1"/>
  <c r="BL35" i="1"/>
  <c r="BL47" i="1"/>
  <c r="BL87" i="1"/>
  <c r="BL99" i="1"/>
  <c r="BK12" i="1"/>
  <c r="BM12" i="1" s="1"/>
  <c r="BN12" i="1" s="1"/>
  <c r="BO12" i="1" s="1"/>
  <c r="BK24" i="1"/>
  <c r="BM24" i="1" s="1"/>
  <c r="BN24" i="1" s="1"/>
  <c r="BO24" i="1" s="1"/>
  <c r="BK42" i="1"/>
  <c r="BM42" i="1" s="1"/>
  <c r="BN42" i="1" s="1"/>
  <c r="BO42" i="1" s="1"/>
  <c r="BK54" i="1"/>
  <c r="BM54" i="1" s="1"/>
  <c r="BN54" i="1" s="1"/>
  <c r="BO54" i="1" s="1"/>
  <c r="BK94" i="1"/>
  <c r="BM94" i="1" s="1"/>
  <c r="BN94" i="1" s="1"/>
  <c r="BO94" i="1" s="1"/>
  <c r="BK106" i="1"/>
  <c r="BM106" i="1" s="1"/>
  <c r="BN106" i="1" s="1"/>
  <c r="BO106" i="1" s="1"/>
  <c r="U19" i="1"/>
  <c r="U37" i="1"/>
  <c r="T14" i="1"/>
  <c r="V14" i="1" s="1"/>
  <c r="W14" i="1" s="1"/>
  <c r="X14" i="1" s="1"/>
  <c r="T44" i="1"/>
  <c r="V44" i="1" s="1"/>
  <c r="W44" i="1" s="1"/>
  <c r="X44" i="1" s="1"/>
  <c r="AM46" i="1"/>
  <c r="AQ46" i="1" s="1"/>
  <c r="AR46" i="1" s="1"/>
  <c r="AS46" i="1" s="1"/>
  <c r="BL9" i="1"/>
  <c r="BK16" i="1"/>
  <c r="BM16" i="1" s="1"/>
  <c r="BN16" i="1" s="1"/>
  <c r="BO16" i="1" s="1"/>
  <c r="U93" i="1"/>
  <c r="BK7" i="1"/>
  <c r="BM7" i="1" s="1"/>
  <c r="CH16" i="1"/>
  <c r="CH28" i="1"/>
  <c r="CH46" i="1"/>
  <c r="CH86" i="1"/>
  <c r="CH98" i="1"/>
  <c r="CG11" i="1"/>
  <c r="CI11" i="1" s="1"/>
  <c r="CJ11" i="1" s="1"/>
  <c r="CK11" i="1" s="1"/>
  <c r="CG23" i="1"/>
  <c r="CI23" i="1" s="1"/>
  <c r="CJ23" i="1" s="1"/>
  <c r="CK23" i="1" s="1"/>
  <c r="CG41" i="1"/>
  <c r="CI41" i="1" s="1"/>
  <c r="CJ41" i="1" s="1"/>
  <c r="CK41" i="1" s="1"/>
  <c r="CG53" i="1"/>
  <c r="CI53" i="1" s="1"/>
  <c r="CJ53" i="1" s="1"/>
  <c r="CK53" i="1" s="1"/>
  <c r="CG93" i="1"/>
  <c r="CI93" i="1" s="1"/>
  <c r="CJ93" i="1" s="1"/>
  <c r="CK93" i="1" s="1"/>
  <c r="CG105" i="1"/>
  <c r="CI105" i="1" s="1"/>
  <c r="CJ105" i="1" s="1"/>
  <c r="CK105" i="1" s="1"/>
  <c r="BL18" i="1"/>
  <c r="BL36" i="1"/>
  <c r="BL48" i="1"/>
  <c r="BL88" i="1"/>
  <c r="BL100" i="1"/>
  <c r="BK13" i="1"/>
  <c r="BM13" i="1" s="1"/>
  <c r="BN13" i="1" s="1"/>
  <c r="BO13" i="1" s="1"/>
  <c r="BK25" i="1"/>
  <c r="BM25" i="1" s="1"/>
  <c r="BN25" i="1" s="1"/>
  <c r="BO25" i="1" s="1"/>
  <c r="BK43" i="1"/>
  <c r="BM43" i="1" s="1"/>
  <c r="BN43" i="1" s="1"/>
  <c r="BO43" i="1" s="1"/>
  <c r="BK83" i="1"/>
  <c r="BM83" i="1" s="1"/>
  <c r="BN83" i="1" s="1"/>
  <c r="BO83" i="1" s="1"/>
  <c r="BK95" i="1"/>
  <c r="BM95" i="1" s="1"/>
  <c r="BN95" i="1" s="1"/>
  <c r="BO95" i="1" s="1"/>
  <c r="U8" i="1"/>
  <c r="U20" i="1"/>
  <c r="U38" i="1"/>
  <c r="U50" i="1"/>
  <c r="U90" i="1"/>
  <c r="U102" i="1"/>
  <c r="T15" i="1"/>
  <c r="V15" i="1" s="1"/>
  <c r="W15" i="1" s="1"/>
  <c r="X15" i="1" s="1"/>
  <c r="T27" i="1"/>
  <c r="V27" i="1" s="1"/>
  <c r="W27" i="1" s="1"/>
  <c r="X27" i="1" s="1"/>
  <c r="T45" i="1"/>
  <c r="V45" i="1" s="1"/>
  <c r="W45" i="1" s="1"/>
  <c r="X45" i="1" s="1"/>
  <c r="T85" i="1"/>
  <c r="V85" i="1" s="1"/>
  <c r="W85" i="1" s="1"/>
  <c r="X85" i="1" s="1"/>
  <c r="T97" i="1"/>
  <c r="V97" i="1" s="1"/>
  <c r="W97" i="1" s="1"/>
  <c r="X97" i="1" s="1"/>
  <c r="CH7" i="1"/>
  <c r="AM105" i="1"/>
  <c r="AQ105" i="1" s="1"/>
  <c r="AR105" i="1" s="1"/>
  <c r="AS105" i="1" s="1"/>
  <c r="AM87" i="1"/>
  <c r="AQ87" i="1" s="1"/>
  <c r="AR87" i="1" s="1"/>
  <c r="AS87" i="1" s="1"/>
  <c r="AM35" i="1"/>
  <c r="AQ35" i="1" s="1"/>
  <c r="AR35" i="1" s="1"/>
  <c r="AS35" i="1" s="1"/>
  <c r="AM47" i="1"/>
  <c r="AQ47" i="1" s="1"/>
  <c r="AR47" i="1" s="1"/>
  <c r="AS47" i="1" s="1"/>
  <c r="CH18" i="1"/>
  <c r="CH88" i="1"/>
  <c r="CG13" i="1"/>
  <c r="CI13" i="1" s="1"/>
  <c r="CJ13" i="1" s="1"/>
  <c r="CK13" i="1" s="1"/>
  <c r="CG43" i="1"/>
  <c r="CI43" i="1" s="1"/>
  <c r="CJ43" i="1" s="1"/>
  <c r="CK43" i="1" s="1"/>
  <c r="CG95" i="1"/>
  <c r="CI95" i="1" s="1"/>
  <c r="BL8" i="1"/>
  <c r="BL38" i="1"/>
  <c r="BL90" i="1"/>
  <c r="BK15" i="1"/>
  <c r="BM15" i="1" s="1"/>
  <c r="BN15" i="1" s="1"/>
  <c r="BO15" i="1" s="1"/>
  <c r="BK45" i="1"/>
  <c r="BM45" i="1" s="1"/>
  <c r="BN45" i="1" s="1"/>
  <c r="BO45" i="1" s="1"/>
  <c r="BK97" i="1"/>
  <c r="BM97" i="1" s="1"/>
  <c r="BN97" i="1" s="1"/>
  <c r="BO97" i="1" s="1"/>
  <c r="U10" i="1"/>
  <c r="U40" i="1"/>
  <c r="U92" i="1"/>
  <c r="T17" i="1"/>
  <c r="V17" i="1" s="1"/>
  <c r="W17" i="1" s="1"/>
  <c r="X17" i="1" s="1"/>
  <c r="T47" i="1"/>
  <c r="V47" i="1" s="1"/>
  <c r="W47" i="1" s="1"/>
  <c r="X47" i="1" s="1"/>
  <c r="T99" i="1"/>
  <c r="V99" i="1" s="1"/>
  <c r="W99" i="1" s="1"/>
  <c r="X99" i="1" s="1"/>
  <c r="AM49" i="1"/>
  <c r="AQ49" i="1" s="1"/>
  <c r="AR49" i="1" s="1"/>
  <c r="AS49" i="1" s="1"/>
  <c r="AM37" i="1"/>
  <c r="AQ37" i="1" s="1"/>
  <c r="AR37" i="1" s="1"/>
  <c r="AS37" i="1" s="1"/>
  <c r="CH37" i="1"/>
  <c r="CH49" i="1"/>
  <c r="CH101" i="1"/>
  <c r="CG26" i="1"/>
  <c r="CI26" i="1" s="1"/>
  <c r="CJ26" i="1" s="1"/>
  <c r="CK26" i="1" s="1"/>
  <c r="BL51" i="1"/>
  <c r="BK98" i="1"/>
  <c r="BM98" i="1" s="1"/>
  <c r="BN98" i="1" s="1"/>
  <c r="BO98" i="1" s="1"/>
  <c r="U41" i="1"/>
  <c r="T88" i="1"/>
  <c r="V88" i="1" s="1"/>
  <c r="W88" i="1" s="1"/>
  <c r="X88" i="1" s="1"/>
  <c r="CH17" i="1"/>
  <c r="CH35" i="1"/>
  <c r="CH47" i="1"/>
  <c r="CH87" i="1"/>
  <c r="CH99" i="1"/>
  <c r="CG12" i="1"/>
  <c r="CI12" i="1" s="1"/>
  <c r="CJ12" i="1" s="1"/>
  <c r="CK12" i="1" s="1"/>
  <c r="CG24" i="1"/>
  <c r="CI24" i="1" s="1"/>
  <c r="CJ24" i="1" s="1"/>
  <c r="CK24" i="1" s="1"/>
  <c r="CG42" i="1"/>
  <c r="CI42" i="1" s="1"/>
  <c r="CJ42" i="1" s="1"/>
  <c r="CK42" i="1" s="1"/>
  <c r="CG54" i="1"/>
  <c r="CI54" i="1" s="1"/>
  <c r="CJ54" i="1" s="1"/>
  <c r="CK54" i="1" s="1"/>
  <c r="CG94" i="1"/>
  <c r="CI94" i="1" s="1"/>
  <c r="CJ94" i="1" s="1"/>
  <c r="CK94" i="1" s="1"/>
  <c r="CG106" i="1"/>
  <c r="CI106" i="1" s="1"/>
  <c r="CJ106" i="1" s="1"/>
  <c r="CK106" i="1" s="1"/>
  <c r="BL19" i="1"/>
  <c r="BL37" i="1"/>
  <c r="BL49" i="1"/>
  <c r="BL89" i="1"/>
  <c r="BL101" i="1"/>
  <c r="BK14" i="1"/>
  <c r="BM14" i="1" s="1"/>
  <c r="BN14" i="1" s="1"/>
  <c r="BO14" i="1" s="1"/>
  <c r="BK26" i="1"/>
  <c r="BM26" i="1" s="1"/>
  <c r="BN26" i="1" s="1"/>
  <c r="BO26" i="1" s="1"/>
  <c r="BK44" i="1"/>
  <c r="BM44" i="1" s="1"/>
  <c r="BN44" i="1" s="1"/>
  <c r="BO44" i="1" s="1"/>
  <c r="BK84" i="1"/>
  <c r="BM84" i="1" s="1"/>
  <c r="BN84" i="1" s="1"/>
  <c r="BO84" i="1" s="1"/>
  <c r="BK96" i="1"/>
  <c r="BM96" i="1" s="1"/>
  <c r="BN96" i="1" s="1"/>
  <c r="BO96" i="1" s="1"/>
  <c r="U9" i="1"/>
  <c r="U21" i="1"/>
  <c r="U39" i="1"/>
  <c r="U51" i="1"/>
  <c r="U91" i="1"/>
  <c r="U103" i="1"/>
  <c r="T16" i="1"/>
  <c r="V16" i="1" s="1"/>
  <c r="T28" i="1"/>
  <c r="V28" i="1" s="1"/>
  <c r="W28" i="1" s="1"/>
  <c r="X28" i="1" s="1"/>
  <c r="T46" i="1"/>
  <c r="V46" i="1" s="1"/>
  <c r="W46" i="1" s="1"/>
  <c r="X46" i="1" s="1"/>
  <c r="T86" i="1"/>
  <c r="V86" i="1" s="1"/>
  <c r="W86" i="1" s="1"/>
  <c r="X86" i="1" s="1"/>
  <c r="T98" i="1"/>
  <c r="V98" i="1" s="1"/>
  <c r="W98" i="1" s="1"/>
  <c r="X98" i="1" s="1"/>
  <c r="CG7" i="1"/>
  <c r="CI7" i="1" s="1"/>
  <c r="AM106" i="1"/>
  <c r="AQ106" i="1" s="1"/>
  <c r="AM88" i="1"/>
  <c r="AQ88" i="1" s="1"/>
  <c r="AR88" i="1" s="1"/>
  <c r="AS88" i="1" s="1"/>
  <c r="AM36" i="1"/>
  <c r="AQ36" i="1" s="1"/>
  <c r="AR36" i="1" s="1"/>
  <c r="AS36" i="1" s="1"/>
  <c r="AM48" i="1"/>
  <c r="AQ48" i="1" s="1"/>
  <c r="AR48" i="1" s="1"/>
  <c r="AS48" i="1" s="1"/>
  <c r="CH36" i="1"/>
  <c r="CH48" i="1"/>
  <c r="CH100" i="1"/>
  <c r="CG25" i="1"/>
  <c r="CI25" i="1" s="1"/>
  <c r="CJ25" i="1" s="1"/>
  <c r="CK25" i="1" s="1"/>
  <c r="CG83" i="1"/>
  <c r="CI83" i="1" s="1"/>
  <c r="CJ83" i="1" s="1"/>
  <c r="CK83" i="1" s="1"/>
  <c r="BL20" i="1"/>
  <c r="BL50" i="1"/>
  <c r="BL102" i="1"/>
  <c r="BK27" i="1"/>
  <c r="BM27" i="1" s="1"/>
  <c r="BN27" i="1" s="1"/>
  <c r="BO27" i="1" s="1"/>
  <c r="BK85" i="1"/>
  <c r="BM85" i="1" s="1"/>
  <c r="BN85" i="1" s="1"/>
  <c r="BO85" i="1" s="1"/>
  <c r="U22" i="1"/>
  <c r="U52" i="1"/>
  <c r="U104" i="1"/>
  <c r="T35" i="1"/>
  <c r="V35" i="1" s="1"/>
  <c r="W35" i="1" s="1"/>
  <c r="X35" i="1" s="1"/>
  <c r="T87" i="1"/>
  <c r="V87" i="1" s="1"/>
  <c r="W87" i="1" s="1"/>
  <c r="X87" i="1" s="1"/>
  <c r="BL7" i="1"/>
  <c r="AM89" i="1"/>
  <c r="AQ89" i="1" s="1"/>
  <c r="AR89" i="1" s="1"/>
  <c r="AS89" i="1" s="1"/>
  <c r="CH19" i="1"/>
  <c r="CH89" i="1"/>
  <c r="CG14" i="1"/>
  <c r="CG44" i="1"/>
  <c r="CI44" i="1" s="1"/>
  <c r="CJ44" i="1" s="1"/>
  <c r="CK44" i="1" s="1"/>
  <c r="BL39" i="1"/>
  <c r="BK86" i="1"/>
  <c r="BM86" i="1" s="1"/>
  <c r="BN86" i="1" s="1"/>
  <c r="BO86" i="1" s="1"/>
  <c r="U23" i="1"/>
  <c r="T48" i="1"/>
  <c r="V48" i="1" s="1"/>
  <c r="W48" i="1" s="1"/>
  <c r="X48" i="1" s="1"/>
  <c r="AN95" i="1"/>
  <c r="AN83" i="1"/>
  <c r="AN43" i="1"/>
  <c r="AM26" i="1"/>
  <c r="AQ26" i="1" s="1"/>
  <c r="AM20" i="1"/>
  <c r="AQ20" i="1" s="1"/>
  <c r="AR20" i="1" s="1"/>
  <c r="AS20" i="1" s="1"/>
  <c r="AM14" i="1"/>
  <c r="AQ14" i="1" s="1"/>
  <c r="AM8" i="1"/>
  <c r="AQ8" i="1" s="1"/>
  <c r="AR8" i="1" s="1"/>
  <c r="AS8" i="1" s="1"/>
  <c r="AN92" i="1"/>
  <c r="AN12" i="1"/>
  <c r="AN22" i="1"/>
  <c r="AM16" i="1"/>
  <c r="AQ16" i="1" s="1"/>
  <c r="AN46" i="1"/>
  <c r="AN106" i="1"/>
  <c r="AN94" i="1"/>
  <c r="AN54" i="1"/>
  <c r="AN42" i="1"/>
  <c r="AN25" i="1"/>
  <c r="AN19" i="1"/>
  <c r="AN13" i="1"/>
  <c r="AN7" i="1"/>
  <c r="AN52" i="1"/>
  <c r="AN24" i="1"/>
  <c r="AN10" i="1"/>
  <c r="AM22" i="1"/>
  <c r="AQ22" i="1" s="1"/>
  <c r="AN86" i="1"/>
  <c r="AN105" i="1"/>
  <c r="AN93" i="1"/>
  <c r="AN53" i="1"/>
  <c r="AN41" i="1"/>
  <c r="AM25" i="1"/>
  <c r="AQ25" i="1" s="1"/>
  <c r="AR25" i="1" s="1"/>
  <c r="AS25" i="1" s="1"/>
  <c r="AM19" i="1"/>
  <c r="AQ19" i="1" s="1"/>
  <c r="AM13" i="1"/>
  <c r="AQ13" i="1" s="1"/>
  <c r="AR13" i="1" s="1"/>
  <c r="AS13" i="1" s="1"/>
  <c r="AM7" i="1"/>
  <c r="AQ7" i="1" s="1"/>
  <c r="AN40" i="1"/>
  <c r="AN18" i="1"/>
  <c r="AN100" i="1"/>
  <c r="AN47" i="1"/>
  <c r="AN21" i="1"/>
  <c r="AN104" i="1"/>
  <c r="AN48" i="1"/>
  <c r="AN98" i="1"/>
  <c r="AN103" i="1"/>
  <c r="AN91" i="1"/>
  <c r="AN51" i="1"/>
  <c r="AN39" i="1"/>
  <c r="AM24" i="1"/>
  <c r="AQ24" i="1" s="1"/>
  <c r="AR24" i="1" s="1"/>
  <c r="AS24" i="1" s="1"/>
  <c r="AM18" i="1"/>
  <c r="AQ18" i="1" s="1"/>
  <c r="AM12" i="1"/>
  <c r="AQ12" i="1" s="1"/>
  <c r="AR12" i="1" s="1"/>
  <c r="AS12" i="1" s="1"/>
  <c r="AN16" i="1"/>
  <c r="AN35" i="1"/>
  <c r="AN28" i="1"/>
  <c r="AN102" i="1"/>
  <c r="AN90" i="1"/>
  <c r="AN50" i="1"/>
  <c r="AN38" i="1"/>
  <c r="AN23" i="1"/>
  <c r="AN17" i="1"/>
  <c r="AN11" i="1"/>
  <c r="AN88" i="1"/>
  <c r="AN87" i="1"/>
  <c r="AN9" i="1"/>
  <c r="AN101" i="1"/>
  <c r="AN89" i="1"/>
  <c r="AN49" i="1"/>
  <c r="AN37" i="1"/>
  <c r="AM23" i="1"/>
  <c r="AQ23" i="1" s="1"/>
  <c r="AR23" i="1" s="1"/>
  <c r="AS23" i="1" s="1"/>
  <c r="AM17" i="1"/>
  <c r="AQ17" i="1" s="1"/>
  <c r="AR17" i="1" s="1"/>
  <c r="AS17" i="1" s="1"/>
  <c r="AM11" i="1"/>
  <c r="AQ11" i="1" s="1"/>
  <c r="AN36" i="1"/>
  <c r="AN99" i="1"/>
  <c r="AN15" i="1"/>
  <c r="AM10" i="1"/>
  <c r="AQ10" i="1" s="1"/>
  <c r="AN97" i="1"/>
  <c r="AN85" i="1"/>
  <c r="AN45" i="1"/>
  <c r="AN27" i="1"/>
  <c r="AM21" i="1"/>
  <c r="AQ21" i="1" s="1"/>
  <c r="AM15" i="1"/>
  <c r="AQ15" i="1" s="1"/>
  <c r="AM9" i="1"/>
  <c r="AQ9" i="1" s="1"/>
  <c r="AR9" i="1" s="1"/>
  <c r="AS9" i="1" s="1"/>
  <c r="AN96" i="1"/>
  <c r="AN84" i="1"/>
  <c r="AN44" i="1"/>
  <c r="AN26" i="1"/>
  <c r="AN20" i="1"/>
  <c r="AN14" i="1"/>
  <c r="AN8" i="1"/>
  <c r="CX93" i="1"/>
  <c r="CY93" i="1" s="1"/>
  <c r="CV7" i="1"/>
  <c r="BT117" i="1"/>
  <c r="BS117" i="1"/>
  <c r="CI16" i="1" l="1"/>
  <c r="CJ16" i="1" s="1"/>
  <c r="CK16" i="1" s="1"/>
  <c r="AR16" i="1"/>
  <c r="AS16" i="1" s="1"/>
  <c r="BN14" i="10"/>
  <c r="BO14" i="10" s="1"/>
  <c r="AQ2" i="1"/>
  <c r="AR7" i="1"/>
  <c r="AR85" i="1"/>
  <c r="AS85" i="1" s="1"/>
  <c r="CJ58" i="1"/>
  <c r="CK58" i="1"/>
  <c r="W8" i="10"/>
  <c r="X8" i="10"/>
  <c r="BN29" i="10"/>
  <c r="BO29" i="10" s="1"/>
  <c r="W9" i="10"/>
  <c r="X9" i="10" s="1"/>
  <c r="AR7" i="10"/>
  <c r="AS7" i="10" s="1"/>
  <c r="AQ2" i="10"/>
  <c r="AR19" i="1"/>
  <c r="AS19" i="1" s="1"/>
  <c r="CJ7" i="1"/>
  <c r="CK7" i="1" s="1"/>
  <c r="AR104" i="1"/>
  <c r="AS104" i="1"/>
  <c r="CI104" i="1" s="1"/>
  <c r="CJ104" i="1" s="1"/>
  <c r="CK104" i="1" s="1"/>
  <c r="AR101" i="1"/>
  <c r="AS101" i="1" s="1"/>
  <c r="BN42" i="10"/>
  <c r="BO42" i="10"/>
  <c r="AR102" i="1"/>
  <c r="AS102" i="1" s="1"/>
  <c r="CJ35" i="10"/>
  <c r="CK35" i="10" s="1"/>
  <c r="CI15" i="1"/>
  <c r="CJ15" i="1" s="1"/>
  <c r="CK15" i="1" s="1"/>
  <c r="AR15" i="1"/>
  <c r="AS15" i="1" s="1"/>
  <c r="CI14" i="1"/>
  <c r="CJ14" i="1" s="1"/>
  <c r="CK14" i="1" s="1"/>
  <c r="AR14" i="1"/>
  <c r="AS14" i="1" s="1"/>
  <c r="BM2" i="1"/>
  <c r="BN7" i="1"/>
  <c r="BO7" i="1" s="1"/>
  <c r="AR98" i="1"/>
  <c r="AS98" i="1" s="1"/>
  <c r="CJ26" i="10"/>
  <c r="CK26" i="10" s="1"/>
  <c r="BN7" i="10"/>
  <c r="BO7" i="10" s="1"/>
  <c r="BM2" i="10"/>
  <c r="BN88" i="1"/>
  <c r="BO88" i="1" s="1"/>
  <c r="BN46" i="1"/>
  <c r="BO46" i="1" s="1"/>
  <c r="CJ57" i="1"/>
  <c r="CK57" i="1" s="1"/>
  <c r="AR33" i="10"/>
  <c r="AS33" i="10"/>
  <c r="CJ44" i="10"/>
  <c r="CK44" i="10"/>
  <c r="W40" i="10"/>
  <c r="X40" i="10" s="1"/>
  <c r="W34" i="10"/>
  <c r="X34" i="10" s="1"/>
  <c r="BN30" i="10"/>
  <c r="BO30" i="10"/>
  <c r="CJ7" i="10"/>
  <c r="CI2" i="10"/>
  <c r="CJ41" i="10"/>
  <c r="CK41" i="10"/>
  <c r="CY90" i="1"/>
  <c r="CJ56" i="1"/>
  <c r="CK56" i="1" s="1"/>
  <c r="W45" i="10"/>
  <c r="X45" i="10" s="1"/>
  <c r="CX73" i="1"/>
  <c r="CY73" i="1" s="1"/>
  <c r="CJ95" i="1"/>
  <c r="CK95" i="1" s="1"/>
  <c r="AR96" i="1"/>
  <c r="AS96" i="1" s="1"/>
  <c r="CI96" i="1" s="1"/>
  <c r="CJ96" i="1" s="1"/>
  <c r="CK96" i="1" s="1"/>
  <c r="W33" i="10"/>
  <c r="X33" i="10"/>
  <c r="AR82" i="1"/>
  <c r="AS82" i="1" s="1"/>
  <c r="BN34" i="10"/>
  <c r="BO34" i="10" s="1"/>
  <c r="AR29" i="10"/>
  <c r="AS29" i="10" s="1"/>
  <c r="CI21" i="1"/>
  <c r="CJ21" i="1" s="1"/>
  <c r="CK21" i="1" s="1"/>
  <c r="AR21" i="1"/>
  <c r="AS21" i="1" s="1"/>
  <c r="AR26" i="1"/>
  <c r="AS26" i="1" s="1"/>
  <c r="CY102" i="1"/>
  <c r="BN8" i="1"/>
  <c r="BO8" i="1" s="1"/>
  <c r="AR95" i="1"/>
  <c r="AS95" i="1" s="1"/>
  <c r="V2" i="1"/>
  <c r="W7" i="1"/>
  <c r="X7" i="1" s="1"/>
  <c r="CI39" i="1"/>
  <c r="CJ39" i="1" s="1"/>
  <c r="CK39" i="1" s="1"/>
  <c r="AR39" i="1"/>
  <c r="AS39" i="1" s="1"/>
  <c r="BN55" i="1"/>
  <c r="BO55" i="1" s="1"/>
  <c r="AR48" i="10"/>
  <c r="AS48" i="10"/>
  <c r="AR37" i="10"/>
  <c r="AS37" i="10" s="1"/>
  <c r="CI22" i="1"/>
  <c r="CJ22" i="1" s="1"/>
  <c r="CK22" i="1" s="1"/>
  <c r="AR22" i="1"/>
  <c r="AS22" i="1" s="1"/>
  <c r="AR39" i="10"/>
  <c r="AS39" i="10" s="1"/>
  <c r="W32" i="10"/>
  <c r="X32" i="10"/>
  <c r="W16" i="1"/>
  <c r="X16" i="1" s="1"/>
  <c r="AR99" i="1"/>
  <c r="AS99" i="1" s="1"/>
  <c r="AR10" i="1"/>
  <c r="AS10" i="1"/>
  <c r="AR97" i="1"/>
  <c r="AS97" i="1" s="1"/>
  <c r="CI97" i="1" s="1"/>
  <c r="CJ97" i="1" s="1"/>
  <c r="CK97" i="1" s="1"/>
  <c r="AR18" i="1"/>
  <c r="AS18" i="1" s="1"/>
  <c r="W7" i="10"/>
  <c r="V2" i="10"/>
  <c r="CX78" i="1"/>
  <c r="CY78" i="1" s="1"/>
  <c r="AR11" i="1"/>
  <c r="AS11" i="1" s="1"/>
  <c r="AR106" i="1"/>
  <c r="AS106" i="1" s="1"/>
  <c r="CY87" i="1"/>
  <c r="CI51" i="1"/>
  <c r="CJ51" i="1" s="1"/>
  <c r="CK51" i="1" s="1"/>
  <c r="AR51" i="1"/>
  <c r="AS51" i="1" s="1"/>
  <c r="CJ60" i="1"/>
  <c r="CK60" i="1" s="1"/>
  <c r="CJ15" i="10"/>
  <c r="CK15" i="10"/>
  <c r="CX32" i="1"/>
  <c r="CY32" i="1"/>
  <c r="AR47" i="10"/>
  <c r="AS47" i="10"/>
  <c r="CX16" i="1"/>
  <c r="CY16" i="1" s="1"/>
  <c r="CX46" i="1"/>
  <c r="CY46" i="1" s="1"/>
  <c r="CX22" i="1"/>
  <c r="CY22" i="1" s="1"/>
  <c r="CX45" i="1"/>
  <c r="CY45" i="1" s="1"/>
  <c r="CX44" i="1"/>
  <c r="CY44" i="1" s="1"/>
  <c r="CX43" i="1"/>
  <c r="CY43" i="1" s="1"/>
  <c r="CX50" i="1"/>
  <c r="CY50" i="1" s="1"/>
  <c r="CX42" i="1"/>
  <c r="CY42" i="1" s="1"/>
  <c r="CX17" i="1"/>
  <c r="CY17" i="1" s="1"/>
  <c r="CX14" i="1"/>
  <c r="CY14" i="1" s="1"/>
  <c r="CX49" i="1"/>
  <c r="CY49" i="1" s="1"/>
  <c r="CX41" i="1"/>
  <c r="CY41" i="1" s="1"/>
  <c r="CX48" i="1"/>
  <c r="CX47" i="1"/>
  <c r="CY47" i="1" s="1"/>
  <c r="CX18" i="1"/>
  <c r="AS7" i="1" l="1"/>
  <c r="AR2" i="1"/>
  <c r="AS2" i="1" s="1"/>
  <c r="DC2" i="10"/>
  <c r="CK7" i="10"/>
  <c r="CJ2" i="10"/>
  <c r="CK2" i="10" s="1"/>
  <c r="AR2" i="10"/>
  <c r="BN2" i="1"/>
  <c r="BO2" i="1" s="1"/>
  <c r="CI2" i="1"/>
  <c r="CJ2" i="1"/>
  <c r="BN2" i="10"/>
  <c r="BO2" i="10" s="1"/>
  <c r="X7" i="10"/>
  <c r="W2" i="10"/>
  <c r="X2" i="10" s="1"/>
  <c r="W2" i="1"/>
  <c r="X2" i="1" s="1"/>
  <c r="CX26" i="1"/>
  <c r="CY26" i="1" s="1"/>
  <c r="CY48" i="1"/>
  <c r="CY18" i="1"/>
  <c r="CX23" i="1"/>
  <c r="CY23" i="1" s="1"/>
  <c r="CX24" i="1"/>
  <c r="CY24" i="1" s="1"/>
  <c r="CX25" i="1"/>
  <c r="CY25" i="1" s="1"/>
  <c r="CX19" i="1"/>
  <c r="CY19" i="1" s="1"/>
  <c r="CX13" i="1"/>
  <c r="CY13" i="1" s="1"/>
  <c r="CX21" i="1"/>
  <c r="CY21" i="1" s="1"/>
  <c r="CX20" i="1"/>
  <c r="CY20" i="1" s="1"/>
  <c r="CX15" i="1"/>
  <c r="CY15" i="1" s="1"/>
  <c r="CK2" i="1" l="1"/>
  <c r="AS2" i="10"/>
  <c r="DD2" i="10"/>
  <c r="DE2" i="10" s="1"/>
  <c r="CX40" i="1"/>
  <c r="CY40" i="1" s="1"/>
  <c r="CX28" i="1"/>
  <c r="CY28" i="1" s="1"/>
  <c r="CX35" i="1"/>
  <c r="CY35" i="1" s="1"/>
  <c r="CX36" i="1"/>
  <c r="CY36" i="1" s="1"/>
  <c r="CX37" i="1"/>
  <c r="CY37" i="1" s="1"/>
  <c r="CX38" i="1"/>
  <c r="CY38" i="1" s="1"/>
  <c r="CX39" i="1"/>
  <c r="CY39" i="1" s="1"/>
  <c r="CU7" i="1"/>
  <c r="CW7" i="1" s="1"/>
  <c r="CW2" i="1" s="1"/>
  <c r="DC2" i="1" s="1"/>
  <c r="CX8" i="1"/>
  <c r="CY8" i="1" s="1"/>
  <c r="CX27" i="1" l="1"/>
  <c r="CY27" i="1" s="1"/>
  <c r="CX9" i="1"/>
  <c r="CY9" i="1" s="1"/>
  <c r="CX12" i="1"/>
  <c r="CY12" i="1" s="1"/>
  <c r="CX11" i="1"/>
  <c r="CY11" i="1" s="1"/>
  <c r="CX10" i="1"/>
  <c r="CY10" i="1" s="1"/>
  <c r="CX7" i="1"/>
  <c r="CX2" i="1" l="1"/>
  <c r="DD2" i="1" s="1"/>
  <c r="CY7" i="1"/>
  <c r="DE2" i="1" l="1"/>
  <c r="CY2" i="1"/>
  <c r="L20" i="11"/>
  <c r="L19" i="9"/>
  <c r="L4" i="9"/>
  <c r="L6" i="9"/>
  <c r="L5" i="9"/>
  <c r="L4" i="11"/>
  <c r="L12" i="11"/>
  <c r="L19" i="11"/>
  <c r="L12" i="9"/>
  <c r="L7" i="11"/>
  <c r="L10" i="11"/>
  <c r="L11" i="11"/>
  <c r="L6" i="11"/>
  <c r="L15" i="11"/>
  <c r="L10" i="9"/>
  <c r="L5" i="11"/>
  <c r="L7" i="9"/>
  <c r="L15" i="9"/>
  <c r="L11" i="9"/>
  <c r="L16" i="9"/>
  <c r="L20" i="9"/>
  <c r="L16" i="11"/>
</calcChain>
</file>

<file path=xl/sharedStrings.xml><?xml version="1.0" encoding="utf-8"?>
<sst xmlns="http://schemas.openxmlformats.org/spreadsheetml/2006/main" count="1007" uniqueCount="254">
  <si>
    <t>Monday</t>
  </si>
  <si>
    <t>Tuesday</t>
  </si>
  <si>
    <t>Thursday</t>
  </si>
  <si>
    <t>Friday</t>
  </si>
  <si>
    <t>Saturday</t>
  </si>
  <si>
    <t>Contractor / Vendor</t>
  </si>
  <si>
    <t>Category</t>
  </si>
  <si>
    <t>Labour Id</t>
  </si>
  <si>
    <t xml:space="preserve">Labour Name </t>
  </si>
  <si>
    <t>Total Hours</t>
  </si>
  <si>
    <t>OT Hours</t>
  </si>
  <si>
    <t>Total Payable</t>
  </si>
  <si>
    <t>Duty Hours</t>
  </si>
  <si>
    <t>Labour-001</t>
  </si>
  <si>
    <t>Labour-002</t>
  </si>
  <si>
    <t>Labour-003</t>
  </si>
  <si>
    <t>Rajesh</t>
  </si>
  <si>
    <t>Labour-004</t>
  </si>
  <si>
    <t>Labour-005</t>
  </si>
  <si>
    <t>Carpenter</t>
  </si>
  <si>
    <t>Labour-006</t>
  </si>
  <si>
    <t>Labour-007</t>
  </si>
  <si>
    <t>Sunday</t>
  </si>
  <si>
    <t>Advance</t>
  </si>
  <si>
    <t>Hourly Rate</t>
  </si>
  <si>
    <t>Hourly Rate (INR)</t>
  </si>
  <si>
    <t>Daily Rate (INR)</t>
  </si>
  <si>
    <t xml:space="preserve">  </t>
  </si>
  <si>
    <t xml:space="preserve">Barbender Fitter </t>
  </si>
  <si>
    <t>Barbender Helper</t>
  </si>
  <si>
    <t>Carpenter Helper</t>
  </si>
  <si>
    <t>Daily Rate</t>
  </si>
  <si>
    <t>Labour-008</t>
  </si>
  <si>
    <t>Labour-009</t>
  </si>
  <si>
    <t>Rate Master</t>
  </si>
  <si>
    <t>Retention @ 5%</t>
  </si>
  <si>
    <t xml:space="preserve">Net Payable </t>
  </si>
  <si>
    <t>Total Manpower Cost</t>
  </si>
  <si>
    <t>Ramakanth</t>
  </si>
  <si>
    <t>Ram Kishor</t>
  </si>
  <si>
    <t>Hiraman Saurat</t>
  </si>
  <si>
    <t>Vikram Adivasi</t>
  </si>
  <si>
    <t>buddan Kori</t>
  </si>
  <si>
    <t>Dhiraj Kori</t>
  </si>
  <si>
    <t>Pavan Kumar</t>
  </si>
  <si>
    <t>Shivendra</t>
  </si>
  <si>
    <t>Ranjith</t>
  </si>
  <si>
    <t>Sharada Prasad</t>
  </si>
  <si>
    <t>Kashi Prasad</t>
  </si>
  <si>
    <t>Abilash</t>
  </si>
  <si>
    <t>Ramesh</t>
  </si>
  <si>
    <t>Vinit Adivasi</t>
  </si>
  <si>
    <t>Siva Prasad</t>
  </si>
  <si>
    <t>Ravilal</t>
  </si>
  <si>
    <t>Narendar</t>
  </si>
  <si>
    <t>Chandrasekhar</t>
  </si>
  <si>
    <t>Tanu Kori</t>
  </si>
  <si>
    <t>Ashish</t>
  </si>
  <si>
    <t>Dhasarath</t>
  </si>
  <si>
    <t xml:space="preserve">Description </t>
  </si>
  <si>
    <t>Ammount</t>
  </si>
  <si>
    <t>Mobilization &amp; Innaugeration Expenses</t>
  </si>
  <si>
    <t>P1 - KALPATARU SARJAPUR RD</t>
  </si>
  <si>
    <t>T- SHIRT</t>
  </si>
  <si>
    <t>Units</t>
  </si>
  <si>
    <t>Rajan</t>
  </si>
  <si>
    <t>Shashikumar</t>
  </si>
  <si>
    <t>Mangal Gropsara</t>
  </si>
  <si>
    <t>Sunil</t>
  </si>
  <si>
    <t>Sitaram</t>
  </si>
  <si>
    <t>Azad</t>
  </si>
  <si>
    <t>Galkud</t>
  </si>
  <si>
    <t>Vijay</t>
  </si>
  <si>
    <t>Lakhan</t>
  </si>
  <si>
    <t>Mangal Gagraj</t>
  </si>
  <si>
    <t>Nikhil</t>
  </si>
  <si>
    <t>Sani</t>
  </si>
  <si>
    <t>Badal</t>
  </si>
  <si>
    <t>Subash</t>
  </si>
  <si>
    <t>Hari</t>
  </si>
  <si>
    <t>Krishna</t>
  </si>
  <si>
    <t>Pintu</t>
  </si>
  <si>
    <t>Anil</t>
  </si>
  <si>
    <t>Ganesh</t>
  </si>
  <si>
    <t>Anand Das</t>
  </si>
  <si>
    <t>Prahlad Das</t>
  </si>
  <si>
    <t>Niranjan Das</t>
  </si>
  <si>
    <t>Nrusingha Bank</t>
  </si>
  <si>
    <t>Sagar Sethi</t>
  </si>
  <si>
    <t>Ugresan Sethi</t>
  </si>
  <si>
    <t>Jagabandhu Sethi</t>
  </si>
  <si>
    <t>Gobinath Sethi</t>
  </si>
  <si>
    <t>Dhukana Sethi</t>
  </si>
  <si>
    <t>Rai Kumar</t>
  </si>
  <si>
    <t>Pramod Kumar</t>
  </si>
  <si>
    <t>Bikash</t>
  </si>
  <si>
    <t>Total</t>
  </si>
  <si>
    <t>Wednesday</t>
  </si>
  <si>
    <t>DATE</t>
  </si>
  <si>
    <t>Task / Activity</t>
  </si>
  <si>
    <t>Unit Type</t>
  </si>
  <si>
    <t>Quantity Completed</t>
  </si>
  <si>
    <t>Rate Per Unit</t>
  </si>
  <si>
    <t>Total Cost</t>
  </si>
  <si>
    <t>Remarks</t>
  </si>
  <si>
    <t>Plastering</t>
  </si>
  <si>
    <t>Sqm</t>
  </si>
  <si>
    <t>Reinforcement</t>
  </si>
  <si>
    <t>MT (Metric Tonne)</t>
  </si>
  <si>
    <t>Shuttering Work</t>
  </si>
  <si>
    <t>Task/Activity</t>
  </si>
  <si>
    <t>Load</t>
  </si>
  <si>
    <t>Painting</t>
  </si>
  <si>
    <t>Cum</t>
  </si>
  <si>
    <t>Rates/Unit Area</t>
  </si>
  <si>
    <t>Electrical</t>
  </si>
  <si>
    <t>Flooring</t>
  </si>
  <si>
    <t>BOD Making</t>
  </si>
  <si>
    <t>Wall sattering</t>
  </si>
  <si>
    <t>Scaffolding</t>
  </si>
  <si>
    <t>Sattering</t>
  </si>
  <si>
    <t>Slab De-Sattering</t>
  </si>
  <si>
    <t>Cut Out</t>
  </si>
  <si>
    <t>STP</t>
  </si>
  <si>
    <t>Grand Total</t>
  </si>
  <si>
    <t>Sum of Total Cost</t>
  </si>
  <si>
    <t>Row Labels</t>
  </si>
  <si>
    <t>Helper</t>
  </si>
  <si>
    <t>Rahul</t>
  </si>
  <si>
    <t>Jitendhar</t>
  </si>
  <si>
    <t>Jayram</t>
  </si>
  <si>
    <t>Keshav</t>
  </si>
  <si>
    <t>Pandlab</t>
  </si>
  <si>
    <t>Ashok Kumar</t>
  </si>
  <si>
    <t>Ajay Kumar</t>
  </si>
  <si>
    <t>Amith Kumar</t>
  </si>
  <si>
    <t>Nimai Kumar</t>
  </si>
  <si>
    <t>Barun Das</t>
  </si>
  <si>
    <t xml:space="preserve">Total Billable </t>
  </si>
  <si>
    <t>Pradhan Karai</t>
  </si>
  <si>
    <t>Duhiram Laguri</t>
  </si>
  <si>
    <t>Anand Geope</t>
  </si>
  <si>
    <t>Dahid Paul</t>
  </si>
  <si>
    <t>Binay Surin</t>
  </si>
  <si>
    <t>Gokul Gope</t>
  </si>
  <si>
    <t>L - Shuttering Work</t>
  </si>
  <si>
    <t>L - Shuttering-Footings in Sub Str (Greade Slab to Upper Basement)</t>
  </si>
  <si>
    <t>L - Shuttering Work (Upper Basement to Podium)</t>
  </si>
  <si>
    <t>L - Shuttering-Footings in Sub Str (Foundation)</t>
  </si>
  <si>
    <t>L - Making Plywood Shuttering Board</t>
  </si>
  <si>
    <t>A</t>
  </si>
  <si>
    <t>B</t>
  </si>
  <si>
    <t>L - Infra Works</t>
  </si>
  <si>
    <t>L - Reinforcement Work (Site Infra)</t>
  </si>
  <si>
    <t>L - Shuttering Work (Site Infra)</t>
  </si>
  <si>
    <t>C</t>
  </si>
  <si>
    <t>L - Staging Work</t>
  </si>
  <si>
    <t>L - Fixing &amp; Removing of Staging</t>
  </si>
  <si>
    <t xml:space="preserve">L - Fixing of Challi </t>
  </si>
  <si>
    <t>D</t>
  </si>
  <si>
    <t>L - Reinforcement Steel</t>
  </si>
  <si>
    <t>L - Reinf Steel Work</t>
  </si>
  <si>
    <t>L - Scrap Steel Segregation</t>
  </si>
  <si>
    <t>SL No</t>
  </si>
  <si>
    <t>ACTIVITY / TASK</t>
  </si>
  <si>
    <t>UoM</t>
  </si>
  <si>
    <t>MT</t>
  </si>
  <si>
    <t>EA</t>
  </si>
  <si>
    <t>Rate/Uint</t>
  </si>
  <si>
    <t>TASK/WORK COMPLETED</t>
  </si>
  <si>
    <t xml:space="preserve"> QTY</t>
  </si>
  <si>
    <t>Weekly Workdone</t>
  </si>
  <si>
    <t>Anuj Gope</t>
  </si>
  <si>
    <t>Total Retention</t>
  </si>
  <si>
    <t>Net Payable</t>
  </si>
  <si>
    <t>PRODUCTION REPORT</t>
  </si>
  <si>
    <t>Retention</t>
  </si>
  <si>
    <t>Remaining</t>
  </si>
  <si>
    <t>Momod</t>
  </si>
  <si>
    <t>Pawan</t>
  </si>
  <si>
    <t>Ramchand</t>
  </si>
  <si>
    <t>Shivaprasad</t>
  </si>
  <si>
    <t>Pradhan Kori</t>
  </si>
  <si>
    <t>Sunil Angeria</t>
  </si>
  <si>
    <t>Narua Samad</t>
  </si>
  <si>
    <t>Shankar Angaria</t>
  </si>
  <si>
    <t>Julan</t>
  </si>
  <si>
    <t>Tasan (Julan)</t>
  </si>
  <si>
    <t>Binai</t>
  </si>
  <si>
    <t>Anand Gope</t>
  </si>
  <si>
    <t>Daniel Pal</t>
  </si>
  <si>
    <t>Donga Samad</t>
  </si>
  <si>
    <t>Udai Sundi</t>
  </si>
  <si>
    <t>Landu Samsed</t>
  </si>
  <si>
    <t>Suraj Kumar</t>
  </si>
  <si>
    <t>Suraj Gagraj</t>
  </si>
  <si>
    <t>Bhimsen Lohar</t>
  </si>
  <si>
    <t>Sikar (Cook)</t>
  </si>
  <si>
    <t>Tui Bandra (Cook)</t>
  </si>
  <si>
    <t>Mangal Goppsara</t>
  </si>
  <si>
    <t>Galid</t>
  </si>
  <si>
    <t>Lachan</t>
  </si>
  <si>
    <t>Duhiram Laguiri</t>
  </si>
  <si>
    <t>Sunil Angera</t>
  </si>
  <si>
    <t>Narua Samed</t>
  </si>
  <si>
    <t>Jitendar</t>
  </si>
  <si>
    <t>Binay</t>
  </si>
  <si>
    <t>Denga Samad</t>
  </si>
  <si>
    <t>Suraj Gograj</t>
  </si>
  <si>
    <t>Sachindra Soy</t>
  </si>
  <si>
    <t>Rohan Soy</t>
  </si>
  <si>
    <t>Sunil Boyapai</t>
  </si>
  <si>
    <t>Sikur (Cook)</t>
  </si>
  <si>
    <t>Unknown</t>
  </si>
  <si>
    <t>Total Manpower Cost/Month</t>
  </si>
  <si>
    <t>Labour-010</t>
  </si>
  <si>
    <t>Labour-011</t>
  </si>
  <si>
    <t>Labour-012</t>
  </si>
  <si>
    <t>Labour-013</t>
  </si>
  <si>
    <t>Labour-014</t>
  </si>
  <si>
    <t>Labour-015</t>
  </si>
  <si>
    <t>Labour-016</t>
  </si>
  <si>
    <t>Labour-017</t>
  </si>
  <si>
    <t>Labour-018</t>
  </si>
  <si>
    <t>Labour-019</t>
  </si>
  <si>
    <t>Labour-020</t>
  </si>
  <si>
    <t>Labour-021</t>
  </si>
  <si>
    <t>Labour-022</t>
  </si>
  <si>
    <t>Labour-023</t>
  </si>
  <si>
    <t>Labour-024</t>
  </si>
  <si>
    <t>Labour-025</t>
  </si>
  <si>
    <t>Labour-026</t>
  </si>
  <si>
    <t>Labour-027</t>
  </si>
  <si>
    <t>Labour-028</t>
  </si>
  <si>
    <t>Labour-029</t>
  </si>
  <si>
    <t>Labour-030</t>
  </si>
  <si>
    <t>Labour-031</t>
  </si>
  <si>
    <t>Labour-032</t>
  </si>
  <si>
    <t>Labour-033</t>
  </si>
  <si>
    <t>Labour-034</t>
  </si>
  <si>
    <t>Labour-035</t>
  </si>
  <si>
    <t>Labour-036</t>
  </si>
  <si>
    <t>Labour-037</t>
  </si>
  <si>
    <t>Labour-038</t>
  </si>
  <si>
    <t>Labour-039</t>
  </si>
  <si>
    <t>Labour-040</t>
  </si>
  <si>
    <t>Labour-041</t>
  </si>
  <si>
    <t>Labour-042</t>
  </si>
  <si>
    <t>Project Code / WO - XXXXXXXXXXXXXXXXXXXX</t>
  </si>
  <si>
    <t>Project Manager : XXXXXXXXXXX</t>
  </si>
  <si>
    <t>Site Supervisor : XXXXXXXXXXX</t>
  </si>
  <si>
    <t>Project Code / WO - XXXXXXXXXXXXXX</t>
  </si>
  <si>
    <t>Project Manager : XXXXXXXXXXXX</t>
  </si>
  <si>
    <t>Site Supervisor : 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</si>
</sst>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"/>
    <numFmt numFmtId="165" formatCode="&quot;₹&quot;\ #,##0.00"/>
    <numFmt numFmtId="166" formatCode="_ [$₹-4009]\ * #,##0.00_ ;_ [$₹-4009]\ * \-#,##0.00_ ;_ [$₹-4009]\ * &quot;-&quot;??_ ;_ @_ "/>
    <numFmt numFmtId="167" formatCode="[$-F800]dddd\,\ mmmm\ dd\,\ yyyy"/>
    <numFmt numFmtId="168" formatCode="[$-14009]dd/mm/yy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04">
    <xf numFmtId="0" fontId="0" fillId="0" borderId="0" xfId="0"/>
    <xf numFmtId="0" fontId="3" fillId="2" borderId="1" xfId="0" applyFont="1" applyFill="1" applyBorder="1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2" fontId="3" fillId="0" borderId="1" xfId="0" applyNumberFormat="1" applyFont="1" applyBorder="1"/>
    <xf numFmtId="0" fontId="7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3" xfId="0" applyFont="1" applyFill="1" applyBorder="1"/>
    <xf numFmtId="0" fontId="1" fillId="0" borderId="1" xfId="0" applyFont="1" applyBorder="1"/>
    <xf numFmtId="166" fontId="4" fillId="0" borderId="1" xfId="2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5" fontId="3" fillId="0" borderId="1" xfId="1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5" fontId="4" fillId="2" borderId="5" xfId="1" applyNumberFormat="1" applyFont="1" applyFill="1" applyBorder="1" applyAlignment="1">
      <alignment vertical="center"/>
    </xf>
    <xf numFmtId="165" fontId="4" fillId="2" borderId="7" xfId="1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4" borderId="3" xfId="0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/>
    </xf>
    <xf numFmtId="0" fontId="7" fillId="7" borderId="6" xfId="0" applyFont="1" applyFill="1" applyBorder="1"/>
    <xf numFmtId="44" fontId="4" fillId="7" borderId="0" xfId="2" applyFont="1" applyFill="1" applyBorder="1" applyAlignment="1">
      <alignment vertical="center"/>
    </xf>
    <xf numFmtId="166" fontId="4" fillId="7" borderId="6" xfId="2" applyNumberFormat="1" applyFont="1" applyFill="1" applyBorder="1" applyAlignment="1">
      <alignment vertical="center"/>
    </xf>
    <xf numFmtId="0" fontId="2" fillId="7" borderId="5" xfId="0" applyFont="1" applyFill="1" applyBorder="1" applyAlignment="1">
      <alignment horizontal="center" vertical="center"/>
    </xf>
    <xf numFmtId="0" fontId="1" fillId="7" borderId="3" xfId="0" applyFont="1" applyFill="1" applyBorder="1"/>
    <xf numFmtId="165" fontId="3" fillId="7" borderId="1" xfId="1" applyNumberFormat="1" applyFont="1" applyFill="1" applyBorder="1"/>
    <xf numFmtId="165" fontId="3" fillId="7" borderId="10" xfId="1" applyNumberFormat="1" applyFont="1" applyFill="1" applyBorder="1"/>
    <xf numFmtId="0" fontId="0" fillId="7" borderId="0" xfId="0" applyFill="1"/>
    <xf numFmtId="44" fontId="4" fillId="7" borderId="0" xfId="2" applyFont="1" applyFill="1" applyBorder="1" applyAlignment="1">
      <alignment horizontal="center" vertical="center"/>
    </xf>
    <xf numFmtId="165" fontId="4" fillId="7" borderId="6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7" fillId="7" borderId="0" xfId="0" applyFont="1" applyFill="1"/>
    <xf numFmtId="0" fontId="1" fillId="7" borderId="6" xfId="0" applyFont="1" applyFill="1" applyBorder="1" applyAlignment="1">
      <alignment vertical="center"/>
    </xf>
    <xf numFmtId="0" fontId="1" fillId="7" borderId="1" xfId="0" applyFont="1" applyFill="1" applyBorder="1"/>
    <xf numFmtId="0" fontId="6" fillId="2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10" fillId="8" borderId="11" xfId="0" applyFont="1" applyFill="1" applyBorder="1" applyAlignment="1">
      <alignment horizontal="center" vertical="center"/>
    </xf>
    <xf numFmtId="165" fontId="10" fillId="8" borderId="11" xfId="0" applyNumberFormat="1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1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5" fontId="10" fillId="8" borderId="3" xfId="0" applyNumberFormat="1" applyFont="1" applyFill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5" fontId="1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7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5" borderId="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165" fontId="14" fillId="0" borderId="1" xfId="1" applyNumberFormat="1" applyFont="1" applyBorder="1"/>
    <xf numFmtId="0" fontId="3" fillId="2" borderId="1" xfId="0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44" fontId="4" fillId="6" borderId="10" xfId="2" applyFont="1" applyFill="1" applyBorder="1" applyAlignment="1">
      <alignment horizontal="center" vertical="center"/>
    </xf>
    <xf numFmtId="44" fontId="4" fillId="6" borderId="11" xfId="2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center" vertical="center"/>
    </xf>
    <xf numFmtId="165" fontId="4" fillId="2" borderId="7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5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5" fontId="10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/>
    </xf>
    <xf numFmtId="16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12" fillId="0" borderId="0" xfId="0" applyNumberFormat="1" applyFont="1" applyBorder="1"/>
    <xf numFmtId="167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0" fontId="0" fillId="10" borderId="0" xfId="0" applyFill="1"/>
    <xf numFmtId="0" fontId="0" fillId="10" borderId="1" xfId="0" applyFill="1" applyBorder="1"/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165" fontId="3" fillId="10" borderId="1" xfId="1" applyNumberFormat="1" applyFont="1" applyFill="1" applyBorder="1"/>
    <xf numFmtId="165" fontId="3" fillId="10" borderId="1" xfId="0" applyNumberFormat="1" applyFont="1" applyFill="1" applyBorder="1"/>
    <xf numFmtId="165" fontId="3" fillId="10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5" fontId="14" fillId="10" borderId="1" xfId="1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44" fontId="4" fillId="6" borderId="9" xfId="2" applyFont="1" applyFill="1" applyBorder="1" applyAlignment="1">
      <alignment horizontal="center" vertical="center"/>
    </xf>
    <xf numFmtId="44" fontId="4" fillId="6" borderId="4" xfId="2" applyFont="1" applyFill="1" applyBorder="1" applyAlignment="1">
      <alignment horizontal="center" vertical="center"/>
    </xf>
    <xf numFmtId="166" fontId="4" fillId="7" borderId="15" xfId="2" applyNumberFormat="1" applyFont="1" applyFill="1" applyBorder="1" applyAlignment="1">
      <alignment vertical="center"/>
    </xf>
    <xf numFmtId="0" fontId="7" fillId="7" borderId="10" xfId="0" applyFont="1" applyFill="1" applyBorder="1"/>
    <xf numFmtId="44" fontId="4" fillId="7" borderId="2" xfId="2" applyFont="1" applyFill="1" applyBorder="1" applyAlignment="1">
      <alignment vertical="center"/>
    </xf>
    <xf numFmtId="44" fontId="4" fillId="7" borderId="11" xfId="2" applyFont="1" applyFill="1" applyBorder="1" applyAlignment="1">
      <alignment vertical="center"/>
    </xf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Fill="1" applyBorder="1"/>
    <xf numFmtId="0" fontId="4" fillId="0" borderId="15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F800]dddd\,\ mmmm\ dd\,\ 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[P1-Kalpataru Sarjapur Rd Final.xlsx]Dashboard!PivotTable2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Reinforcement</c:v>
                </c:pt>
                <c:pt idx="1">
                  <c:v>Shuttering Work</c:v>
                </c:pt>
                <c:pt idx="2">
                  <c:v>Task/Activity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159600</c:v>
                </c:pt>
                <c:pt idx="1">
                  <c:v>15607.2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F-4589-83B7-8C1F1ECD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736016"/>
        <c:axId val="374735232"/>
      </c:barChart>
      <c:catAx>
        <c:axId val="37473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735232"/>
        <c:crosses val="autoZero"/>
        <c:auto val="1"/>
        <c:lblAlgn val="ctr"/>
        <c:lblOffset val="100"/>
        <c:noMultiLvlLbl val="0"/>
      </c:catAx>
      <c:valAx>
        <c:axId val="3747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7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0</xdr:rowOff>
    </xdr:from>
    <xdr:to>
      <xdr:col>10</xdr:col>
      <xdr:colOff>514350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bisol%20infotech/Desktop/Kalpataru_Sarjapur_Road/P1-Kalpataru%20Sarjapur%20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0.810492129633" createdVersion="5" refreshedVersion="5" minRefreshableVersion="3" recordCount="40" xr:uid="{00000000-000A-0000-FFFF-FFFF0D000000}">
  <cacheSource type="worksheet">
    <worksheetSource name="Productiondata" r:id="rId2"/>
  </cacheSource>
  <cacheFields count="7">
    <cacheField name="DATE" numFmtId="0">
      <sharedItems containsNonDate="0" containsDate="1" containsString="0" containsBlank="1" minDate="2025-11-17T00:00:00" maxDate="2025-11-18T00:00:00" count="2">
        <d v="2025-11-17T00:00:00"/>
        <m/>
      </sharedItems>
    </cacheField>
    <cacheField name="Task / Activity" numFmtId="0">
      <sharedItems count="3">
        <s v="Shuttering Work"/>
        <s v="Reinforcement"/>
        <s v="Task/Activity"/>
      </sharedItems>
    </cacheField>
    <cacheField name="Unit Type" numFmtId="0">
      <sharedItems/>
    </cacheField>
    <cacheField name="Quantity Completed" numFmtId="0">
      <sharedItems containsString="0" containsBlank="1" containsNumber="1" minValue="0" maxValue="65.03"/>
    </cacheField>
    <cacheField name="Rate Per Unit" numFmtId="165">
      <sharedItems containsSemiMixedTypes="0" containsString="0" containsNumber="1" containsInteger="1" minValue="0" maxValue="8000"/>
    </cacheField>
    <cacheField name="Total Cost" numFmtId="165">
      <sharedItems containsSemiMixedTypes="0" containsString="0" containsNumber="1" minValue="0" maxValue="159600"/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s v="Sqm"/>
    <n v="65.03"/>
    <n v="240"/>
    <n v="15607.2"/>
    <m/>
  </r>
  <r>
    <x v="0"/>
    <x v="1"/>
    <s v="MT (Metric Tonne)"/>
    <n v="19.95"/>
    <n v="8000"/>
    <n v="15960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m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  <r>
    <x v="1"/>
    <x v="2"/>
    <s v="Unit Type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7" firstHeaderRow="1" firstDataRow="1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4">
        <item sd="0" x="1"/>
        <item sd="0" x="0"/>
        <item sd="0" x="2"/>
        <item t="default"/>
      </items>
    </pivotField>
    <pivotField showAll="0"/>
    <pivotField showAll="0"/>
    <pivotField numFmtId="165" showAll="0"/>
    <pivotField dataField="1" numFmtId="165" showAll="0"/>
    <pivotField showAl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os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2:G22" totalsRowShown="0" headerRowDxfId="10" headerRowBorderDxfId="8" tableBorderDxfId="9" totalsRowBorderDxfId="7">
  <autoFilter ref="A2:G22" xr:uid="{00000000-0009-0000-0100-000001000000}"/>
  <tableColumns count="7">
    <tableColumn id="1" xr3:uid="{00000000-0010-0000-0000-000001000000}" name="DATE" dataDxfId="6"/>
    <tableColumn id="2" xr3:uid="{00000000-0010-0000-0000-000002000000}" name="Task / Activity" dataDxfId="5"/>
    <tableColumn id="3" xr3:uid="{00000000-0010-0000-0000-000003000000}" name="Unit Type" dataDxfId="4"/>
    <tableColumn id="4" xr3:uid="{00000000-0010-0000-0000-000004000000}" name="Quantity Completed" dataDxfId="3"/>
    <tableColumn id="5" xr3:uid="{00000000-0010-0000-0000-000005000000}" name="Rate Per Unit" dataDxfId="2">
      <calculatedColumnFormula>IFERROR(INDEX('Rate Master'!$C$2:$C$103, MATCH('PROJECT NAME NOV'!$DH7, 'Rate Master'!$D$2:$D$103,0)),0)</calculatedColumnFormula>
    </tableColumn>
    <tableColumn id="6" xr3:uid="{00000000-0010-0000-0000-000006000000}" name="Total Cost" dataDxfId="1">
      <calculatedColumnFormula>D3*E3</calculatedColumnFormula>
    </tableColumn>
    <tableColumn id="7" xr3:uid="{00000000-0010-0000-0000-000007000000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17"/>
  <sheetViews>
    <sheetView showGridLines="0" zoomScaleNormal="100" workbookViewId="0">
      <pane xSplit="5" ySplit="6" topLeftCell="J63" activePane="bottomRight" state="frozen"/>
      <selection pane="topRight" activeCell="F1" sqref="F1"/>
      <selection pane="bottomLeft" activeCell="A7" sqref="A7"/>
      <selection pane="bottomRight" activeCell="E75" sqref="E75"/>
    </sheetView>
  </sheetViews>
  <sheetFormatPr defaultRowHeight="14.4" x14ac:dyDescent="0.3"/>
  <cols>
    <col min="1" max="1" width="0.5546875" customWidth="1"/>
    <col min="2" max="2" width="16.44140625" bestFit="1" customWidth="1"/>
    <col min="3" max="3" width="20.5546875" customWidth="1"/>
    <col min="4" max="4" width="13.44140625" customWidth="1"/>
    <col min="5" max="5" width="19.33203125" customWidth="1"/>
    <col min="6" max="7" width="10.109375" customWidth="1"/>
    <col min="8" max="17" width="11.6640625" customWidth="1"/>
    <col min="18" max="18" width="9.88671875" style="7" bestFit="1" customWidth="1"/>
    <col min="19" max="19" width="8.109375" style="7" bestFit="1" customWidth="1"/>
    <col min="20" max="20" width="10.109375" bestFit="1" customWidth="1"/>
    <col min="21" max="21" width="11.109375" customWidth="1"/>
    <col min="22" max="22" width="16" customWidth="1"/>
    <col min="23" max="23" width="13.33203125" bestFit="1" customWidth="1"/>
    <col min="24" max="24" width="19" customWidth="1"/>
    <col min="25" max="38" width="11.6640625" customWidth="1"/>
    <col min="39" max="39" width="10.109375" style="7" bestFit="1" customWidth="1"/>
    <col min="40" max="40" width="11.109375" style="7" customWidth="1"/>
    <col min="41" max="41" width="9.88671875" style="7" bestFit="1" customWidth="1"/>
    <col min="42" max="42" width="8.109375" style="7" bestFit="1" customWidth="1"/>
    <col min="43" max="43" width="16" style="7" customWidth="1"/>
    <col min="44" max="44" width="13.33203125" style="7" bestFit="1" customWidth="1"/>
    <col min="45" max="45" width="19" style="22" customWidth="1"/>
    <col min="46" max="46" width="3.33203125" style="56" customWidth="1"/>
    <col min="47" max="48" width="10.6640625" customWidth="1"/>
    <col min="49" max="49" width="10.6640625" style="7" bestFit="1" customWidth="1"/>
    <col min="50" max="50" width="8.5546875" style="7" bestFit="1" customWidth="1"/>
    <col min="51" max="51" width="10.6640625" style="7" bestFit="1" customWidth="1"/>
    <col min="52" max="52" width="9" style="7" bestFit="1" customWidth="1"/>
    <col min="53" max="53" width="10.6640625" style="7" bestFit="1" customWidth="1"/>
    <col min="54" max="54" width="9" style="7" bestFit="1" customWidth="1"/>
    <col min="55" max="55" width="10.6640625" style="7" bestFit="1" customWidth="1"/>
    <col min="56" max="56" width="9" style="7" bestFit="1" customWidth="1"/>
    <col min="57" max="57" width="10.6640625" style="7" bestFit="1" customWidth="1"/>
    <col min="58" max="58" width="9" style="7" bestFit="1" customWidth="1"/>
    <col min="59" max="59" width="10.6640625" style="7" bestFit="1" customWidth="1"/>
    <col min="60" max="60" width="9" bestFit="1" customWidth="1"/>
    <col min="61" max="61" width="9.88671875" style="7" bestFit="1" customWidth="1"/>
    <col min="62" max="62" width="8.109375" style="7" bestFit="1" customWidth="1"/>
    <col min="63" max="63" width="10.109375" bestFit="1" customWidth="1"/>
    <col min="64" max="64" width="11.109375" customWidth="1"/>
    <col min="65" max="65" width="16" customWidth="1"/>
    <col min="66" max="66" width="13.33203125" bestFit="1" customWidth="1"/>
    <col min="67" max="67" width="19" customWidth="1"/>
    <col min="68" max="68" width="3.5546875" style="56" customWidth="1"/>
    <col min="69" max="69" width="10.6640625" bestFit="1" customWidth="1"/>
    <col min="70" max="70" width="9" bestFit="1" customWidth="1"/>
    <col min="83" max="83" width="9.88671875" style="7" bestFit="1" customWidth="1"/>
    <col min="84" max="84" width="8.109375" style="7" bestFit="1" customWidth="1"/>
    <col min="85" max="85" width="10.109375" bestFit="1" customWidth="1"/>
    <col min="86" max="86" width="11.109375" customWidth="1"/>
    <col min="87" max="87" width="16" customWidth="1"/>
    <col min="88" max="88" width="16.33203125" customWidth="1"/>
    <col min="89" max="89" width="19" customWidth="1"/>
    <col min="90" max="90" width="2.44140625" style="56" customWidth="1"/>
    <col min="97" max="97" width="9.88671875" style="7" bestFit="1" customWidth="1"/>
    <col min="98" max="98" width="8.109375" style="7" bestFit="1" customWidth="1"/>
    <col min="99" max="99" width="10.109375" bestFit="1" customWidth="1"/>
    <col min="100" max="100" width="11.109375" customWidth="1"/>
    <col min="101" max="101" width="16" customWidth="1"/>
    <col min="102" max="102" width="15.6640625" customWidth="1"/>
    <col min="103" max="103" width="19" customWidth="1"/>
    <col min="105" max="105" width="17.5546875" bestFit="1" customWidth="1"/>
    <col min="106" max="106" width="36.109375" bestFit="1" customWidth="1"/>
    <col min="107" max="107" width="17.5546875" bestFit="1" customWidth="1"/>
    <col min="108" max="108" width="21.109375" customWidth="1"/>
    <col min="109" max="109" width="19" customWidth="1"/>
    <col min="110" max="110" width="14.6640625" customWidth="1"/>
    <col min="111" max="111" width="24.6640625" customWidth="1"/>
    <col min="112" max="112" width="28.5546875" hidden="1" customWidth="1"/>
    <col min="115" max="115" width="12.5546875" style="22" customWidth="1"/>
    <col min="116" max="116" width="64" customWidth="1"/>
    <col min="117" max="118" width="11.109375" style="7" customWidth="1"/>
    <col min="119" max="119" width="13.5546875" style="103" customWidth="1"/>
    <col min="120" max="120" width="11.109375" style="103" customWidth="1"/>
  </cols>
  <sheetData>
    <row r="1" spans="2:120" s="6" customFormat="1" ht="38.25" customHeight="1" x14ac:dyDescent="0.45">
      <c r="B1" s="38" t="s">
        <v>248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114" t="s">
        <v>11</v>
      </c>
      <c r="W1" s="64" t="s">
        <v>176</v>
      </c>
      <c r="X1" s="115" t="s">
        <v>36</v>
      </c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5"/>
      <c r="AN1" s="35"/>
      <c r="AO1" s="39"/>
      <c r="AP1" s="39"/>
      <c r="AQ1" s="114" t="s">
        <v>11</v>
      </c>
      <c r="AR1" s="116" t="s">
        <v>176</v>
      </c>
      <c r="AS1" s="117" t="s">
        <v>36</v>
      </c>
      <c r="AT1" s="4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5"/>
      <c r="BG1" s="35"/>
      <c r="BH1" s="39"/>
      <c r="BI1" s="39"/>
      <c r="BJ1" s="39"/>
      <c r="BK1" s="39"/>
      <c r="BL1" s="39"/>
      <c r="BM1" s="114" t="s">
        <v>11</v>
      </c>
      <c r="BN1" s="106" t="s">
        <v>176</v>
      </c>
      <c r="BO1" s="118" t="s">
        <v>36</v>
      </c>
      <c r="BP1" s="49"/>
      <c r="BQ1" s="39"/>
      <c r="BR1" s="39"/>
      <c r="CE1" s="67"/>
      <c r="CF1" s="67"/>
      <c r="CG1" s="39"/>
      <c r="CH1" s="39"/>
      <c r="CI1" s="114" t="s">
        <v>11</v>
      </c>
      <c r="CJ1" s="106" t="s">
        <v>176</v>
      </c>
      <c r="CK1" s="118" t="s">
        <v>36</v>
      </c>
      <c r="CL1" s="61"/>
      <c r="CS1" s="67"/>
      <c r="CT1" s="67"/>
      <c r="CU1" s="39"/>
      <c r="CV1" s="39"/>
      <c r="CW1" s="122" t="s">
        <v>11</v>
      </c>
      <c r="CX1" s="106" t="s">
        <v>176</v>
      </c>
      <c r="CY1" s="118" t="s">
        <v>36</v>
      </c>
      <c r="DA1" s="113"/>
      <c r="DB1" s="113"/>
      <c r="DC1" s="119" t="s">
        <v>11</v>
      </c>
      <c r="DD1" s="120" t="s">
        <v>173</v>
      </c>
      <c r="DE1" s="121" t="s">
        <v>174</v>
      </c>
      <c r="DF1" s="113"/>
      <c r="DG1" s="113"/>
      <c r="DK1" s="100"/>
      <c r="DM1" s="99"/>
      <c r="DN1" s="99"/>
      <c r="DO1" s="102"/>
      <c r="DP1" s="102"/>
    </row>
    <row r="2" spans="2:120" s="6" customFormat="1" ht="23.25" customHeight="1" x14ac:dyDescent="0.45">
      <c r="B2" s="36" t="s">
        <v>249</v>
      </c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9"/>
      <c r="S2" s="9"/>
      <c r="T2" s="131" t="s">
        <v>37</v>
      </c>
      <c r="U2" s="132"/>
      <c r="V2" s="125">
        <f>SUM(V7:V106)</f>
        <v>45762.5</v>
      </c>
      <c r="W2" s="127">
        <f>SUM(W7:W106)</f>
        <v>2288.125</v>
      </c>
      <c r="X2" s="129">
        <f>V2-V4-W2</f>
        <v>43474.375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131"/>
      <c r="AN2" s="132"/>
      <c r="AO2" s="9"/>
      <c r="AP2" s="9"/>
      <c r="AQ2" s="125">
        <f>SUM(AQ7:AQ106)</f>
        <v>110700</v>
      </c>
      <c r="AR2" s="127">
        <f>SUM(AR7:AR106)</f>
        <v>5535</v>
      </c>
      <c r="AS2" s="129">
        <f>AQ2-AR4-AR2</f>
        <v>105165</v>
      </c>
      <c r="AT2" s="57"/>
      <c r="AU2" s="41"/>
      <c r="AV2" s="41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131" t="s">
        <v>37</v>
      </c>
      <c r="BL2" s="132"/>
      <c r="BM2" s="125">
        <f>SUM(BM7:BM106)</f>
        <v>386190.625</v>
      </c>
      <c r="BN2" s="127">
        <f>SUM(BN7:BN106)</f>
        <v>19309.53125</v>
      </c>
      <c r="BO2" s="129">
        <f>BM2-BM4-BN2</f>
        <v>366881.09375</v>
      </c>
      <c r="BP2" s="50"/>
      <c r="BQ2" s="9"/>
      <c r="BR2" s="9"/>
      <c r="CE2" s="185"/>
      <c r="CF2" s="185"/>
      <c r="CG2" s="131" t="s">
        <v>37</v>
      </c>
      <c r="CH2" s="132"/>
      <c r="CI2" s="125">
        <f>SUM(CI7:CI106)</f>
        <v>425700</v>
      </c>
      <c r="CJ2" s="127">
        <f>SUM(CJ7:CJ106)</f>
        <v>21285</v>
      </c>
      <c r="CK2" s="129">
        <f>CI2-CI4-CJ2</f>
        <v>404415</v>
      </c>
      <c r="CL2" s="61"/>
      <c r="CS2" s="9"/>
      <c r="CT2" s="9"/>
      <c r="CU2" s="184" t="s">
        <v>37</v>
      </c>
      <c r="CV2" s="184"/>
      <c r="CW2" s="125">
        <f>SUM(CW7:CW106)</f>
        <v>112600</v>
      </c>
      <c r="CX2" s="127">
        <f>SUM(CX7:CX106)</f>
        <v>5630</v>
      </c>
      <c r="CY2" s="129">
        <f>CW2-CW4-CX2</f>
        <v>106970</v>
      </c>
      <c r="DA2" s="131" t="s">
        <v>214</v>
      </c>
      <c r="DB2" s="132"/>
      <c r="DC2" s="125">
        <f>SUM(V2,AQ2,BM2,CI2,CW2)</f>
        <v>1080953.125</v>
      </c>
      <c r="DD2" s="127">
        <f>SUM(AR2,BN2,CJ2,CX2)</f>
        <v>51759.53125</v>
      </c>
      <c r="DE2" s="129">
        <f>DC2-DC4-DD2</f>
        <v>973193.59375</v>
      </c>
      <c r="DF2" s="30"/>
      <c r="DG2" s="22"/>
      <c r="DK2" s="100"/>
      <c r="DM2" s="99"/>
      <c r="DN2" s="99"/>
      <c r="DO2" s="102"/>
      <c r="DP2" s="102"/>
    </row>
    <row r="3" spans="2:120" ht="25.5" customHeight="1" x14ac:dyDescent="0.3">
      <c r="B3" s="36" t="s">
        <v>250</v>
      </c>
      <c r="C3" s="40"/>
      <c r="D3" s="40"/>
      <c r="E3" s="37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T3" s="133"/>
      <c r="U3" s="134"/>
      <c r="V3" s="126"/>
      <c r="W3" s="128"/>
      <c r="X3" s="130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133"/>
      <c r="AN3" s="134"/>
      <c r="AQ3" s="126"/>
      <c r="AR3" s="128"/>
      <c r="AS3" s="130"/>
      <c r="AT3" s="57"/>
      <c r="AU3" s="41"/>
      <c r="AV3" s="41"/>
      <c r="BK3" s="133"/>
      <c r="BL3" s="134"/>
      <c r="BM3" s="126"/>
      <c r="BN3" s="128"/>
      <c r="BO3" s="130"/>
      <c r="BP3" s="50"/>
      <c r="CG3" s="133"/>
      <c r="CH3" s="134"/>
      <c r="CI3" s="126"/>
      <c r="CJ3" s="128"/>
      <c r="CK3" s="130"/>
      <c r="CU3" s="184"/>
      <c r="CV3" s="184"/>
      <c r="CW3" s="126"/>
      <c r="CX3" s="128"/>
      <c r="CY3" s="130"/>
      <c r="DA3" s="133"/>
      <c r="DB3" s="134"/>
      <c r="DC3" s="126"/>
      <c r="DD3" s="128"/>
      <c r="DE3" s="130"/>
      <c r="DF3" s="30"/>
      <c r="DG3" s="30"/>
    </row>
    <row r="4" spans="2:120" s="2" customFormat="1" ht="21" customHeight="1" x14ac:dyDescent="0.3">
      <c r="F4" s="136" t="s">
        <v>4</v>
      </c>
      <c r="G4" s="136"/>
      <c r="H4" s="136" t="s">
        <v>22</v>
      </c>
      <c r="I4" s="136"/>
      <c r="J4" s="136" t="s">
        <v>0</v>
      </c>
      <c r="K4" s="136"/>
      <c r="L4" s="136" t="s">
        <v>1</v>
      </c>
      <c r="M4" s="136"/>
      <c r="N4" s="136" t="s">
        <v>97</v>
      </c>
      <c r="O4" s="136"/>
      <c r="P4" s="136" t="s">
        <v>2</v>
      </c>
      <c r="Q4" s="136"/>
      <c r="R4" s="188"/>
      <c r="S4" s="188"/>
      <c r="T4" s="32" t="s">
        <v>23</v>
      </c>
      <c r="U4" s="32"/>
      <c r="V4" s="33">
        <v>0</v>
      </c>
      <c r="W4" s="34"/>
      <c r="X4" s="17"/>
      <c r="Y4" s="135" t="s">
        <v>3</v>
      </c>
      <c r="Z4" s="135"/>
      <c r="AA4" s="135" t="s">
        <v>4</v>
      </c>
      <c r="AB4" s="135"/>
      <c r="AC4" s="135" t="s">
        <v>22</v>
      </c>
      <c r="AD4" s="135"/>
      <c r="AE4" s="135" t="s">
        <v>0</v>
      </c>
      <c r="AF4" s="135"/>
      <c r="AG4" s="135" t="s">
        <v>1</v>
      </c>
      <c r="AH4" s="135"/>
      <c r="AI4" s="135" t="s">
        <v>97</v>
      </c>
      <c r="AJ4" s="135"/>
      <c r="AK4" s="135" t="s">
        <v>2</v>
      </c>
      <c r="AL4" s="135"/>
      <c r="AM4" s="31"/>
      <c r="AN4" s="31"/>
      <c r="AO4" s="10"/>
      <c r="AP4" s="10"/>
      <c r="AQ4" s="31" t="s">
        <v>23</v>
      </c>
      <c r="AR4" s="139">
        <v>0</v>
      </c>
      <c r="AS4" s="140"/>
      <c r="AT4" s="58"/>
      <c r="AU4" s="136" t="s">
        <v>3</v>
      </c>
      <c r="AV4" s="136"/>
      <c r="AW4" s="136" t="s">
        <v>4</v>
      </c>
      <c r="AX4" s="136"/>
      <c r="AY4" s="136" t="s">
        <v>22</v>
      </c>
      <c r="AZ4" s="136"/>
      <c r="BA4" s="136" t="s">
        <v>0</v>
      </c>
      <c r="BB4" s="136"/>
      <c r="BC4" s="136" t="s">
        <v>1</v>
      </c>
      <c r="BD4" s="136"/>
      <c r="BE4" s="136" t="s">
        <v>97</v>
      </c>
      <c r="BF4" s="136"/>
      <c r="BG4" s="136" t="s">
        <v>2</v>
      </c>
      <c r="BH4" s="136"/>
      <c r="BI4" s="10"/>
      <c r="BJ4" s="10"/>
      <c r="BK4" s="141" t="s">
        <v>23</v>
      </c>
      <c r="BL4" s="142"/>
      <c r="BM4" s="139">
        <v>0</v>
      </c>
      <c r="BN4" s="140"/>
      <c r="BO4" s="17"/>
      <c r="BP4" s="51"/>
      <c r="BQ4" s="135" t="s">
        <v>3</v>
      </c>
      <c r="BR4" s="135"/>
      <c r="BS4" s="135" t="s">
        <v>4</v>
      </c>
      <c r="BT4" s="135"/>
      <c r="BU4" s="135" t="s">
        <v>22</v>
      </c>
      <c r="BV4" s="135"/>
      <c r="BW4" s="135" t="s">
        <v>0</v>
      </c>
      <c r="BX4" s="135"/>
      <c r="BY4" s="135" t="s">
        <v>1</v>
      </c>
      <c r="BZ4" s="135"/>
      <c r="CA4" s="135" t="s">
        <v>97</v>
      </c>
      <c r="CB4" s="135"/>
      <c r="CC4" s="136" t="s">
        <v>2</v>
      </c>
      <c r="CD4" s="136"/>
      <c r="CE4" s="144"/>
      <c r="CF4" s="145"/>
      <c r="CG4" s="141" t="s">
        <v>23</v>
      </c>
      <c r="CH4" s="142"/>
      <c r="CI4" s="139">
        <v>0</v>
      </c>
      <c r="CJ4" s="140"/>
      <c r="CK4" s="17"/>
      <c r="CL4" s="62"/>
      <c r="CM4" s="60" t="s">
        <v>3</v>
      </c>
      <c r="CN4" s="60"/>
      <c r="CO4" s="60" t="s">
        <v>4</v>
      </c>
      <c r="CP4" s="60"/>
      <c r="CQ4" s="136" t="s">
        <v>22</v>
      </c>
      <c r="CR4" s="136"/>
      <c r="CS4" s="10"/>
      <c r="CT4" s="10"/>
      <c r="CU4" s="141" t="s">
        <v>23</v>
      </c>
      <c r="CV4" s="142"/>
      <c r="CW4" s="33">
        <v>0</v>
      </c>
      <c r="CX4" s="34"/>
      <c r="CY4" s="17"/>
      <c r="DA4" s="141" t="s">
        <v>23</v>
      </c>
      <c r="DB4" s="142"/>
      <c r="DC4" s="33">
        <v>56000</v>
      </c>
      <c r="DD4" s="34"/>
      <c r="DE4" s="17"/>
      <c r="DK4" s="101"/>
      <c r="DM4" s="10"/>
      <c r="DN4" s="10"/>
      <c r="DO4" s="104"/>
      <c r="DP4" s="104"/>
    </row>
    <row r="5" spans="2:120" s="22" customFormat="1" ht="18" x14ac:dyDescent="0.3">
      <c r="B5" s="18" t="s">
        <v>5</v>
      </c>
      <c r="C5" s="18" t="s">
        <v>6</v>
      </c>
      <c r="D5" s="18" t="s">
        <v>7</v>
      </c>
      <c r="E5" s="18" t="s">
        <v>8</v>
      </c>
      <c r="F5" s="186">
        <v>45962</v>
      </c>
      <c r="G5" s="187"/>
      <c r="H5" s="186">
        <v>45963</v>
      </c>
      <c r="I5" s="187"/>
      <c r="J5" s="186">
        <v>45964</v>
      </c>
      <c r="K5" s="187"/>
      <c r="L5" s="186">
        <v>45965</v>
      </c>
      <c r="M5" s="187"/>
      <c r="N5" s="186">
        <v>45966</v>
      </c>
      <c r="O5" s="187"/>
      <c r="P5" s="186">
        <v>45967</v>
      </c>
      <c r="Q5" s="187"/>
      <c r="R5" s="97" t="s">
        <v>9</v>
      </c>
      <c r="S5" s="97" t="s">
        <v>10</v>
      </c>
      <c r="T5" s="18" t="s">
        <v>24</v>
      </c>
      <c r="U5" s="18" t="s">
        <v>31</v>
      </c>
      <c r="V5" s="18" t="s">
        <v>11</v>
      </c>
      <c r="W5" s="18" t="s">
        <v>35</v>
      </c>
      <c r="X5" s="18" t="s">
        <v>36</v>
      </c>
      <c r="Y5" s="137">
        <v>45968</v>
      </c>
      <c r="Z5" s="138"/>
      <c r="AA5" s="137">
        <v>45969</v>
      </c>
      <c r="AB5" s="138"/>
      <c r="AC5" s="137">
        <v>45970</v>
      </c>
      <c r="AD5" s="138"/>
      <c r="AE5" s="137">
        <v>45971</v>
      </c>
      <c r="AF5" s="138"/>
      <c r="AG5" s="137">
        <v>45972</v>
      </c>
      <c r="AH5" s="138"/>
      <c r="AI5" s="137">
        <v>45973</v>
      </c>
      <c r="AJ5" s="138"/>
      <c r="AK5" s="137">
        <v>45974</v>
      </c>
      <c r="AL5" s="138"/>
      <c r="AM5" s="18" t="s">
        <v>24</v>
      </c>
      <c r="AN5" s="18" t="s">
        <v>31</v>
      </c>
      <c r="AO5" s="97" t="s">
        <v>9</v>
      </c>
      <c r="AP5" s="97" t="s">
        <v>10</v>
      </c>
      <c r="AQ5" s="18" t="s">
        <v>11</v>
      </c>
      <c r="AR5" s="18" t="s">
        <v>35</v>
      </c>
      <c r="AS5" s="18" t="s">
        <v>36</v>
      </c>
      <c r="AT5" s="52"/>
      <c r="AU5" s="137">
        <v>45975</v>
      </c>
      <c r="AV5" s="138"/>
      <c r="AW5" s="137">
        <v>45976</v>
      </c>
      <c r="AX5" s="138"/>
      <c r="AY5" s="137">
        <v>45977</v>
      </c>
      <c r="AZ5" s="138"/>
      <c r="BA5" s="137">
        <v>45978</v>
      </c>
      <c r="BB5" s="138"/>
      <c r="BC5" s="137">
        <v>45979</v>
      </c>
      <c r="BD5" s="138"/>
      <c r="BE5" s="137">
        <v>45980</v>
      </c>
      <c r="BF5" s="138"/>
      <c r="BG5" s="137">
        <v>45981</v>
      </c>
      <c r="BH5" s="138"/>
      <c r="BI5" s="97" t="s">
        <v>9</v>
      </c>
      <c r="BJ5" s="97" t="s">
        <v>10</v>
      </c>
      <c r="BK5" s="18" t="s">
        <v>24</v>
      </c>
      <c r="BL5" s="18" t="s">
        <v>31</v>
      </c>
      <c r="BM5" s="18" t="s">
        <v>11</v>
      </c>
      <c r="BN5" s="18" t="s">
        <v>35</v>
      </c>
      <c r="BO5" s="18" t="s">
        <v>36</v>
      </c>
      <c r="BP5" s="52"/>
      <c r="BQ5" s="137">
        <v>45982</v>
      </c>
      <c r="BR5" s="138"/>
      <c r="BS5" s="137">
        <v>45983</v>
      </c>
      <c r="BT5" s="138"/>
      <c r="BU5" s="137">
        <v>45984</v>
      </c>
      <c r="BV5" s="138"/>
      <c r="BW5" s="137">
        <v>45985</v>
      </c>
      <c r="BX5" s="138"/>
      <c r="BY5" s="137">
        <v>45986</v>
      </c>
      <c r="BZ5" s="138"/>
      <c r="CA5" s="137">
        <v>45987</v>
      </c>
      <c r="CB5" s="138"/>
      <c r="CC5" s="137">
        <v>45988</v>
      </c>
      <c r="CD5" s="138"/>
      <c r="CE5" s="97" t="s">
        <v>9</v>
      </c>
      <c r="CF5" s="97" t="s">
        <v>10</v>
      </c>
      <c r="CG5" s="18" t="s">
        <v>24</v>
      </c>
      <c r="CH5" s="18" t="s">
        <v>31</v>
      </c>
      <c r="CI5" s="18" t="s">
        <v>11</v>
      </c>
      <c r="CJ5" s="18" t="s">
        <v>35</v>
      </c>
      <c r="CK5" s="18" t="s">
        <v>36</v>
      </c>
      <c r="CL5" s="98"/>
      <c r="CM5" s="137">
        <v>45989</v>
      </c>
      <c r="CN5" s="138"/>
      <c r="CO5" s="137">
        <v>45990</v>
      </c>
      <c r="CP5" s="138"/>
      <c r="CQ5" s="137">
        <v>45991</v>
      </c>
      <c r="CR5" s="138"/>
      <c r="CS5" s="97" t="s">
        <v>9</v>
      </c>
      <c r="CT5" s="97" t="s">
        <v>10</v>
      </c>
      <c r="CU5" s="18" t="s">
        <v>24</v>
      </c>
      <c r="CV5" s="18" t="s">
        <v>31</v>
      </c>
      <c r="CW5" s="18" t="s">
        <v>11</v>
      </c>
      <c r="CX5" s="18" t="s">
        <v>35</v>
      </c>
      <c r="CY5" s="18" t="s">
        <v>36</v>
      </c>
      <c r="DK5" s="29"/>
      <c r="DL5" s="29"/>
      <c r="DM5" s="29"/>
      <c r="DN5" s="29"/>
      <c r="DO5" s="105"/>
      <c r="DP5" s="105"/>
    </row>
    <row r="6" spans="2:120" s="2" customFormat="1" x14ac:dyDescent="0.3">
      <c r="B6" s="16"/>
      <c r="C6" s="16"/>
      <c r="D6" s="16"/>
      <c r="E6" s="16"/>
      <c r="F6" s="11" t="s">
        <v>12</v>
      </c>
      <c r="G6" s="11" t="s">
        <v>10</v>
      </c>
      <c r="H6" s="11" t="s">
        <v>12</v>
      </c>
      <c r="I6" s="11" t="s">
        <v>10</v>
      </c>
      <c r="J6" s="11" t="s">
        <v>12</v>
      </c>
      <c r="K6" s="11" t="s">
        <v>10</v>
      </c>
      <c r="L6" s="11" t="s">
        <v>12</v>
      </c>
      <c r="M6" s="11" t="s">
        <v>10</v>
      </c>
      <c r="N6" s="11" t="s">
        <v>12</v>
      </c>
      <c r="O6" s="11" t="s">
        <v>10</v>
      </c>
      <c r="P6" s="11" t="s">
        <v>12</v>
      </c>
      <c r="Q6" s="11" t="s">
        <v>10</v>
      </c>
      <c r="R6" s="13"/>
      <c r="S6" s="13"/>
      <c r="T6" s="14"/>
      <c r="U6" s="14"/>
      <c r="V6" s="15"/>
      <c r="W6" s="15"/>
      <c r="X6" s="15"/>
      <c r="Y6" s="11" t="s">
        <v>12</v>
      </c>
      <c r="Z6" s="11" t="s">
        <v>10</v>
      </c>
      <c r="AA6" s="11" t="s">
        <v>12</v>
      </c>
      <c r="AB6" s="11" t="s">
        <v>10</v>
      </c>
      <c r="AC6" s="11" t="s">
        <v>12</v>
      </c>
      <c r="AD6" s="11" t="s">
        <v>10</v>
      </c>
      <c r="AE6" s="11" t="s">
        <v>12</v>
      </c>
      <c r="AF6" s="11" t="s">
        <v>10</v>
      </c>
      <c r="AG6" s="11" t="s">
        <v>12</v>
      </c>
      <c r="AH6" s="11" t="s">
        <v>10</v>
      </c>
      <c r="AI6" s="11" t="s">
        <v>12</v>
      </c>
      <c r="AJ6" s="11" t="s">
        <v>10</v>
      </c>
      <c r="AK6" s="11" t="s">
        <v>12</v>
      </c>
      <c r="AL6" s="11" t="s">
        <v>10</v>
      </c>
      <c r="AM6" s="13"/>
      <c r="AN6" s="13"/>
      <c r="AO6" s="13"/>
      <c r="AP6" s="13"/>
      <c r="AQ6" s="42"/>
      <c r="AR6" s="42"/>
      <c r="AS6" s="65"/>
      <c r="AT6" s="53"/>
      <c r="AU6" s="11" t="s">
        <v>12</v>
      </c>
      <c r="AV6" s="11" t="s">
        <v>10</v>
      </c>
      <c r="AW6" s="11" t="s">
        <v>12</v>
      </c>
      <c r="AX6" s="11" t="s">
        <v>10</v>
      </c>
      <c r="AY6" s="11" t="s">
        <v>12</v>
      </c>
      <c r="AZ6" s="11" t="s">
        <v>10</v>
      </c>
      <c r="BA6" s="11" t="s">
        <v>12</v>
      </c>
      <c r="BB6" s="11" t="s">
        <v>10</v>
      </c>
      <c r="BC6" s="11" t="s">
        <v>12</v>
      </c>
      <c r="BD6" s="11" t="s">
        <v>10</v>
      </c>
      <c r="BE6" s="11" t="s">
        <v>12</v>
      </c>
      <c r="BF6" s="11" t="s">
        <v>10</v>
      </c>
      <c r="BG6" s="11" t="s">
        <v>12</v>
      </c>
      <c r="BH6" s="12" t="s">
        <v>10</v>
      </c>
      <c r="BI6" s="13"/>
      <c r="BJ6" s="13"/>
      <c r="BK6" s="14"/>
      <c r="BL6" s="14"/>
      <c r="BM6" s="15"/>
      <c r="BN6" s="15"/>
      <c r="BO6" s="15"/>
      <c r="BP6" s="53"/>
      <c r="BQ6" s="12" t="s">
        <v>12</v>
      </c>
      <c r="BR6" s="12" t="s">
        <v>10</v>
      </c>
      <c r="BS6" s="12" t="s">
        <v>12</v>
      </c>
      <c r="BT6" s="12" t="s">
        <v>10</v>
      </c>
      <c r="BU6" s="12" t="s">
        <v>12</v>
      </c>
      <c r="BV6" s="12" t="s">
        <v>10</v>
      </c>
      <c r="BW6" s="12" t="s">
        <v>12</v>
      </c>
      <c r="BX6" s="12" t="s">
        <v>10</v>
      </c>
      <c r="BY6" s="12" t="s">
        <v>12</v>
      </c>
      <c r="BZ6" s="12" t="s">
        <v>10</v>
      </c>
      <c r="CA6" s="12" t="s">
        <v>12</v>
      </c>
      <c r="CB6" s="12" t="s">
        <v>10</v>
      </c>
      <c r="CC6" s="12" t="s">
        <v>12</v>
      </c>
      <c r="CD6" s="12" t="s">
        <v>10</v>
      </c>
      <c r="CE6" s="13"/>
      <c r="CF6" s="13"/>
      <c r="CG6" s="14"/>
      <c r="CH6" s="14"/>
      <c r="CI6" s="15"/>
      <c r="CJ6" s="15"/>
      <c r="CK6" s="15"/>
      <c r="CL6" s="63"/>
      <c r="CM6" s="12" t="s">
        <v>12</v>
      </c>
      <c r="CN6" s="12" t="s">
        <v>10</v>
      </c>
      <c r="CO6" s="12" t="s">
        <v>12</v>
      </c>
      <c r="CP6" s="12" t="s">
        <v>10</v>
      </c>
      <c r="CQ6" s="12" t="s">
        <v>12</v>
      </c>
      <c r="CR6" s="12" t="s">
        <v>10</v>
      </c>
      <c r="CS6" s="13"/>
      <c r="CT6" s="13"/>
      <c r="CU6" s="14"/>
      <c r="CV6" s="14"/>
      <c r="CW6" s="15"/>
      <c r="CX6" s="15"/>
      <c r="CY6" s="15"/>
      <c r="DH6" s="85" t="s">
        <v>127</v>
      </c>
      <c r="DK6" s="101"/>
      <c r="DM6" s="10"/>
      <c r="DN6" s="10"/>
      <c r="DO6" s="104"/>
      <c r="DP6" s="104"/>
    </row>
    <row r="7" spans="2:120" x14ac:dyDescent="0.3">
      <c r="B7" s="3" t="s">
        <v>38</v>
      </c>
      <c r="C7" s="1" t="s">
        <v>19</v>
      </c>
      <c r="D7" s="1" t="s">
        <v>13</v>
      </c>
      <c r="E7" s="1" t="s">
        <v>38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8">
        <f t="shared" ref="R7:R28" si="0">SUM(F7,H7,J7,L7,N7,P7)</f>
        <v>0</v>
      </c>
      <c r="S7" s="8">
        <f t="shared" ref="S7:S28" si="1">SUM(G7,I7,K7,M7,O7,Q7)</f>
        <v>0</v>
      </c>
      <c r="T7" s="19">
        <f>IFERROR(INDEX(Settings!$F:$F, MATCH('PROJECT NAME NOV'!$B7 &amp; "-" &amp; 'PROJECT NAME NOV'!$C7, Settings!$H:$H,0)), "")</f>
        <v>106.25</v>
      </c>
      <c r="U7" s="19">
        <f>IFERROR(INDEX(Settings!$G:$G, MATCH('PROJECT NAME NOV'!$B7 &amp; "-" &amp; 'PROJECT NAME NOV'!$C7, Settings!$H:$H, 0)), "")</f>
        <v>850</v>
      </c>
      <c r="V7" s="19">
        <f t="shared" ref="V7:V26" si="2">(R7*T7)+(S7*T7)</f>
        <v>0</v>
      </c>
      <c r="W7" s="19">
        <f>V7*5%</f>
        <v>0</v>
      </c>
      <c r="X7" s="19">
        <f>V7-W7</f>
        <v>0</v>
      </c>
      <c r="Y7" s="8">
        <v>8</v>
      </c>
      <c r="Z7" s="8">
        <v>0</v>
      </c>
      <c r="AA7" s="8">
        <v>8</v>
      </c>
      <c r="AB7" s="8">
        <v>2</v>
      </c>
      <c r="AC7" s="8">
        <v>8</v>
      </c>
      <c r="AD7" s="8">
        <v>0</v>
      </c>
      <c r="AE7" s="8">
        <v>8</v>
      </c>
      <c r="AF7" s="8">
        <v>2</v>
      </c>
      <c r="AG7" s="8">
        <v>8</v>
      </c>
      <c r="AH7" s="21">
        <v>2</v>
      </c>
      <c r="AI7" s="21">
        <v>8</v>
      </c>
      <c r="AJ7" s="21">
        <v>2</v>
      </c>
      <c r="AK7" s="21">
        <v>8</v>
      </c>
      <c r="AL7" s="21">
        <v>2</v>
      </c>
      <c r="AM7" s="43">
        <f>IFERROR(INDEX(Settings!$F:$F, MATCH('PROJECT NAME NOV'!$B7 &amp; "-" &amp; 'PROJECT NAME NOV'!$C7, Settings!$H:$H,0)), "")</f>
        <v>106.25</v>
      </c>
      <c r="AN7" s="43">
        <f>IFERROR(INDEX(Settings!$G:$G, MATCH('PROJECT NAME NOV'!$B7 &amp; "-" &amp; 'PROJECT NAME NOV'!$C7, Settings!$H:$H, 0)), "")</f>
        <v>850</v>
      </c>
      <c r="AO7" s="8">
        <f>SUM(Y7,AA7,AC7,AE7,AG7,AI7,AK7)</f>
        <v>56</v>
      </c>
      <c r="AP7" s="8">
        <f>SUM(Z7,AB7,AD7,AF7,AH7,AJ7,AL7)</f>
        <v>10</v>
      </c>
      <c r="AQ7" s="43">
        <f>(AO7*AM7)+(AP7*AM7)</f>
        <v>7012.5</v>
      </c>
      <c r="AR7" s="43">
        <f>AQ7*5%</f>
        <v>350.625</v>
      </c>
      <c r="AS7" s="44">
        <f>AQ7-AR7</f>
        <v>6661.875</v>
      </c>
      <c r="AT7" s="54"/>
      <c r="AU7" s="8">
        <v>8</v>
      </c>
      <c r="AV7" s="8">
        <v>2</v>
      </c>
      <c r="AW7" s="8">
        <v>8</v>
      </c>
      <c r="AX7" s="8">
        <v>4</v>
      </c>
      <c r="AY7" s="8">
        <v>8</v>
      </c>
      <c r="AZ7" s="8">
        <v>0</v>
      </c>
      <c r="BA7" s="8">
        <v>8</v>
      </c>
      <c r="BB7" s="8">
        <v>4</v>
      </c>
      <c r="BC7" s="8">
        <v>8</v>
      </c>
      <c r="BD7" s="8">
        <v>4</v>
      </c>
      <c r="BE7" s="8">
        <v>8</v>
      </c>
      <c r="BF7" s="28">
        <v>0</v>
      </c>
      <c r="BG7" s="28">
        <v>8</v>
      </c>
      <c r="BH7" s="8">
        <v>4</v>
      </c>
      <c r="BI7" s="8">
        <f>SUM(AU7,AW7,AY7,BA7,BC7,BE7,BG7)</f>
        <v>56</v>
      </c>
      <c r="BJ7" s="8">
        <f>SUM(AV7,AX7,AZ7,BB7,BD7,BF7,BH7)</f>
        <v>18</v>
      </c>
      <c r="BK7" s="19">
        <f>IFERROR(INDEX(Settings!$F:$F, MATCH('PROJECT NAME NOV'!$B7 &amp; "-" &amp; 'PROJECT NAME NOV'!$C7, Settings!$H:$H,0)), "")</f>
        <v>106.25</v>
      </c>
      <c r="BL7" s="19">
        <f>IFERROR(INDEX(Settings!$G:$G, MATCH('PROJECT NAME NOV'!$B7 &amp; "-" &amp; 'PROJECT NAME NOV'!$C7, Settings!$H:$H, 0)), "")</f>
        <v>850</v>
      </c>
      <c r="BM7" s="19">
        <f t="shared" ref="BM7:BM26" si="3">(BI7*BK7)+(BJ7*BK7)</f>
        <v>7862.5</v>
      </c>
      <c r="BN7" s="19">
        <f>BM7*5%</f>
        <v>393.125</v>
      </c>
      <c r="BO7" s="19">
        <f>BM7-BN7</f>
        <v>7469.375</v>
      </c>
      <c r="BP7" s="54"/>
      <c r="BQ7" s="21">
        <v>8</v>
      </c>
      <c r="BR7" s="21">
        <v>2</v>
      </c>
      <c r="BS7" s="27">
        <v>8</v>
      </c>
      <c r="BT7" s="27">
        <v>2</v>
      </c>
      <c r="BU7" s="27">
        <v>8</v>
      </c>
      <c r="BV7" s="27">
        <v>0</v>
      </c>
      <c r="BW7" s="27">
        <v>8</v>
      </c>
      <c r="BX7" s="27">
        <v>2</v>
      </c>
      <c r="BY7" s="27">
        <v>8</v>
      </c>
      <c r="BZ7" s="27">
        <v>2</v>
      </c>
      <c r="CA7" s="27">
        <v>8</v>
      </c>
      <c r="CB7" s="27">
        <v>2</v>
      </c>
      <c r="CC7" s="27">
        <v>8</v>
      </c>
      <c r="CD7" s="27"/>
      <c r="CE7" s="8">
        <f>SUM(BQ7,BS7,BU7,BW7,BY7,CA7,CC7)</f>
        <v>56</v>
      </c>
      <c r="CF7" s="8">
        <f>SUM(BR7,BT7,BV7,BX7,BZ7,CB7,CD7)</f>
        <v>10</v>
      </c>
      <c r="CG7" s="19">
        <f>IFERROR(INDEX(Settings!$F:$F, MATCH('PROJECT NAME NOV'!$B7 &amp; "-" &amp; 'PROJECT NAME NOV'!$C7, Settings!$H:$H,0)), "")</f>
        <v>106.25</v>
      </c>
      <c r="CH7" s="19">
        <f>IFERROR(INDEX(Settings!$G:$G, MATCH('PROJECT NAME NOV'!$B7 &amp; "-" &amp; 'PROJECT NAME NOV'!$C7, Settings!$H:$H, 0)), "")</f>
        <v>850</v>
      </c>
      <c r="CI7" s="19">
        <f t="shared" ref="CI7:CI26" si="4">(CE7*CG7)+(CF7*CG7)</f>
        <v>7012.5</v>
      </c>
      <c r="CJ7" s="19">
        <f>CI7*5%</f>
        <v>350.625</v>
      </c>
      <c r="CK7" s="19">
        <f>CI7-CJ7</f>
        <v>6661.875</v>
      </c>
      <c r="CM7" s="27">
        <v>8</v>
      </c>
      <c r="CN7" s="27">
        <v>4</v>
      </c>
      <c r="CO7" s="27">
        <v>8</v>
      </c>
      <c r="CP7" s="27">
        <v>4</v>
      </c>
      <c r="CQ7" s="27"/>
      <c r="CR7" s="27"/>
      <c r="CS7" s="8">
        <f t="shared" ref="CS7:CS39" si="5">SUM(CM7,CO7,CQ7)</f>
        <v>16</v>
      </c>
      <c r="CT7" s="8">
        <f t="shared" ref="CT7:CT39" si="6">SUM(CN7,CP7,CR7)</f>
        <v>8</v>
      </c>
      <c r="CU7" s="19">
        <f>IFERROR(INDEX(Settings!$F:$F, MATCH('PROJECT NAME NOV'!$B7 &amp; "-" &amp; 'PROJECT NAME NOV'!$C7, Settings!$H:$H,0)), "")</f>
        <v>106.25</v>
      </c>
      <c r="CV7" s="19">
        <f>IFERROR(INDEX(Settings!$G:$G, MATCH('PROJECT NAME NOV'!$B7 &amp; "-" &amp; 'PROJECT NAME NOV'!$C7, Settings!$H:$H, 0)), "")</f>
        <v>850</v>
      </c>
      <c r="CW7" s="19">
        <f>(CU7*CS7)+(CT7*CU7)</f>
        <v>2550</v>
      </c>
      <c r="CX7" s="19">
        <f>CW7*5%</f>
        <v>127.5</v>
      </c>
      <c r="CY7" s="19">
        <f t="shared" ref="CY7:CY44" si="7">CW7-CX7</f>
        <v>2422.5</v>
      </c>
      <c r="DH7" s="86" t="str">
        <f>'Billable Till Date'!B3 &amp; "-" &amp; 'Billable Till Date'!C3</f>
        <v>L - Reinf Steel Work-MT</v>
      </c>
      <c r="DK7" s="101"/>
      <c r="DL7" s="2"/>
      <c r="DM7" s="10"/>
      <c r="DN7" s="10"/>
      <c r="DO7" s="104"/>
      <c r="DP7" s="104"/>
    </row>
    <row r="8" spans="2:120" x14ac:dyDescent="0.3">
      <c r="B8" s="3" t="s">
        <v>38</v>
      </c>
      <c r="C8" s="1" t="s">
        <v>19</v>
      </c>
      <c r="D8" s="1" t="s">
        <v>14</v>
      </c>
      <c r="E8" s="1" t="s">
        <v>39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8">
        <f t="shared" si="0"/>
        <v>0</v>
      </c>
      <c r="S8" s="8">
        <f t="shared" si="1"/>
        <v>0</v>
      </c>
      <c r="T8" s="19">
        <f>IFERROR(INDEX(Settings!$F:$F, MATCH('PROJECT NAME NOV'!$B8 &amp; "-" &amp; 'PROJECT NAME NOV'!$C8, Settings!$H:$H,0)), "")</f>
        <v>106.25</v>
      </c>
      <c r="U8" s="19">
        <f>IFERROR(INDEX(Settings!$G:$G, MATCH('PROJECT NAME NOV'!$B8 &amp; "-" &amp; 'PROJECT NAME NOV'!$C8, Settings!$H:$H, 0)), "")</f>
        <v>850</v>
      </c>
      <c r="V8" s="19">
        <f t="shared" si="2"/>
        <v>0</v>
      </c>
      <c r="W8" s="19">
        <f>V8*5%</f>
        <v>0</v>
      </c>
      <c r="X8" s="19">
        <f t="shared" ref="X8:X104" si="8">V8-W8</f>
        <v>0</v>
      </c>
      <c r="Y8" s="8">
        <v>8</v>
      </c>
      <c r="Z8" s="8">
        <v>0</v>
      </c>
      <c r="AA8" s="8">
        <v>8</v>
      </c>
      <c r="AB8" s="8">
        <v>2</v>
      </c>
      <c r="AC8" s="8">
        <v>8</v>
      </c>
      <c r="AD8" s="8">
        <v>0</v>
      </c>
      <c r="AE8" s="8">
        <v>8</v>
      </c>
      <c r="AF8" s="8">
        <v>2</v>
      </c>
      <c r="AG8" s="8">
        <v>8</v>
      </c>
      <c r="AH8" s="21">
        <v>2</v>
      </c>
      <c r="AI8" s="21">
        <v>0</v>
      </c>
      <c r="AJ8" s="21">
        <v>0</v>
      </c>
      <c r="AK8" s="21">
        <v>0</v>
      </c>
      <c r="AL8" s="21">
        <v>0</v>
      </c>
      <c r="AM8" s="43">
        <f>IFERROR(INDEX(Settings!$F:$F, MATCH('PROJECT NAME NOV'!$B8 &amp; "-" &amp; 'PROJECT NAME NOV'!$C8, Settings!$H:$H,0)), "")</f>
        <v>106.25</v>
      </c>
      <c r="AN8" s="43">
        <f>IFERROR(INDEX(Settings!$G:$G, MATCH('PROJECT NAME NOV'!$B8 &amp; "-" &amp; 'PROJECT NAME NOV'!$C8, Settings!$H:$H, 0)), "")</f>
        <v>850</v>
      </c>
      <c r="AO8" s="8">
        <f t="shared" ref="AO8:AO104" si="9">SUM(Y8,AA8,AC8,AE8,AG8,AI8,AK8)</f>
        <v>40</v>
      </c>
      <c r="AP8" s="8">
        <f t="shared" ref="AP8:AP104" si="10">SUM(Z8,AB8,AD8,AF8,AH8,AJ8,AL8)</f>
        <v>6</v>
      </c>
      <c r="AQ8" s="43">
        <f t="shared" ref="AQ8:AQ104" si="11">(AO8*AM8)+(AP8*AM8)</f>
        <v>4887.5</v>
      </c>
      <c r="AR8" s="43">
        <f t="shared" ref="AR8:AR104" si="12">AQ8*5%</f>
        <v>244.375</v>
      </c>
      <c r="AS8" s="44">
        <f t="shared" ref="AS8:AS104" si="13">AQ8-AR8</f>
        <v>4643.125</v>
      </c>
      <c r="AT8" s="54"/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28">
        <v>0</v>
      </c>
      <c r="BG8" s="28">
        <v>0</v>
      </c>
      <c r="BH8" s="8">
        <v>0</v>
      </c>
      <c r="BI8" s="8">
        <f t="shared" ref="BI8:BI104" si="14">SUM(AU8,AW8,AY8,BA8,BC8,BE8,BG8)</f>
        <v>0</v>
      </c>
      <c r="BJ8" s="8">
        <f t="shared" ref="BJ8:BJ104" si="15">SUM(AV8,AX8,AZ8,BB8,BD8,BF8,BH8)</f>
        <v>0</v>
      </c>
      <c r="BK8" s="19">
        <f>IFERROR(INDEX(Settings!$F:$F, MATCH('PROJECT NAME NOV'!$B8 &amp; "-" &amp; 'PROJECT NAME NOV'!$C8, Settings!$H:$H,0)), "")</f>
        <v>106.25</v>
      </c>
      <c r="BL8" s="19">
        <f>IFERROR(INDEX(Settings!$G:$G, MATCH('PROJECT NAME NOV'!$B8 &amp; "-" &amp; 'PROJECT NAME NOV'!$C8, Settings!$H:$H, 0)), "")</f>
        <v>850</v>
      </c>
      <c r="BM8" s="19">
        <f t="shared" si="3"/>
        <v>0</v>
      </c>
      <c r="BN8" s="19">
        <f>BM8*5%</f>
        <v>0</v>
      </c>
      <c r="BO8" s="19">
        <f t="shared" ref="BO8:BO104" si="16">BM8-BN8</f>
        <v>0</v>
      </c>
      <c r="BP8" s="54"/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7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8">
        <f t="shared" ref="CE8:CE104" si="17">SUM(BQ8,BS8,BU8,BW8,BY8,CA8,CC8)</f>
        <v>0</v>
      </c>
      <c r="CF8" s="8">
        <f t="shared" ref="CF8:CF104" si="18">SUM(BR8,BT8,BV8,BX8,BZ8,CB8,CD8)</f>
        <v>0</v>
      </c>
      <c r="CG8" s="19">
        <f>IFERROR(INDEX(Settings!$F:$F, MATCH('PROJECT NAME NOV'!$B8 &amp; "-" &amp; 'PROJECT NAME NOV'!$C8, Settings!$H:$H,0)), "")</f>
        <v>106.25</v>
      </c>
      <c r="CH8" s="19">
        <f>IFERROR(INDEX(Settings!$G:$G, MATCH('PROJECT NAME NOV'!$B8 &amp; "-" &amp; 'PROJECT NAME NOV'!$C8, Settings!$H:$H, 0)), "")</f>
        <v>850</v>
      </c>
      <c r="CI8" s="19">
        <f t="shared" si="4"/>
        <v>0</v>
      </c>
      <c r="CJ8" s="19">
        <f>CI8*5%</f>
        <v>0</v>
      </c>
      <c r="CK8" s="19">
        <f t="shared" ref="CK8:CK104" si="19">CI8-CJ8</f>
        <v>0</v>
      </c>
      <c r="CM8" s="27">
        <v>0</v>
      </c>
      <c r="CN8" s="27"/>
      <c r="CO8" s="27"/>
      <c r="CP8" s="27"/>
      <c r="CQ8" s="27"/>
      <c r="CR8" s="27"/>
      <c r="CS8" s="8">
        <f t="shared" si="5"/>
        <v>0</v>
      </c>
      <c r="CT8" s="8">
        <f t="shared" si="6"/>
        <v>0</v>
      </c>
      <c r="CU8" s="19">
        <f>IFERROR(INDEX(Settings!$F:$F, MATCH('PROJECT NAME NOV'!$B8 &amp; "-" &amp; 'PROJECT NAME NOV'!$C8, Settings!$H:$H,0)), "")</f>
        <v>106.25</v>
      </c>
      <c r="CV8" s="19">
        <f>IFERROR(INDEX(Settings!$G:$G, MATCH('PROJECT NAME NOV'!$B8 &amp; "-" &amp; 'PROJECT NAME NOV'!$C8, Settings!$H:$H, 0)), "")</f>
        <v>850</v>
      </c>
      <c r="CW8" s="19">
        <f t="shared" ref="CW8:CW72" si="20">(CU8*CS8)+(CT8*CU8)</f>
        <v>0</v>
      </c>
      <c r="CX8" s="19">
        <f t="shared" ref="CX8:CX104" si="21">CW8*5%</f>
        <v>0</v>
      </c>
      <c r="CY8" s="19">
        <f t="shared" si="7"/>
        <v>0</v>
      </c>
      <c r="DH8" s="87" t="str">
        <f>'Billable Till Date'!B4 &amp; "-" &amp; 'Billable Till Date'!C4</f>
        <v>L - Shuttering-Footings in Sub Str (Foundation)-Sqm</v>
      </c>
    </row>
    <row r="9" spans="2:120" x14ac:dyDescent="0.3">
      <c r="B9" s="3" t="s">
        <v>38</v>
      </c>
      <c r="C9" s="1" t="s">
        <v>19</v>
      </c>
      <c r="D9" s="1" t="s">
        <v>15</v>
      </c>
      <c r="E9" s="1" t="s">
        <v>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8">
        <f t="shared" si="0"/>
        <v>0</v>
      </c>
      <c r="S9" s="8">
        <f t="shared" si="1"/>
        <v>0</v>
      </c>
      <c r="T9" s="19">
        <f>IFERROR(INDEX(Settings!$F:$F, MATCH('PROJECT NAME NOV'!$B9 &amp; "-" &amp; 'PROJECT NAME NOV'!$C9, Settings!$H:$H,0)), "")</f>
        <v>106.25</v>
      </c>
      <c r="U9" s="19">
        <f>IFERROR(INDEX(Settings!$G:$G, MATCH('PROJECT NAME NOV'!$B9 &amp; "-" &amp; 'PROJECT NAME NOV'!$C9, Settings!$H:$H, 0)), "")</f>
        <v>850</v>
      </c>
      <c r="V9" s="19">
        <f t="shared" si="2"/>
        <v>0</v>
      </c>
      <c r="W9" s="19">
        <f>V9*5%</f>
        <v>0</v>
      </c>
      <c r="X9" s="19">
        <f t="shared" si="8"/>
        <v>0</v>
      </c>
      <c r="Y9" s="8">
        <v>8</v>
      </c>
      <c r="Z9" s="8">
        <v>0</v>
      </c>
      <c r="AA9" s="8">
        <v>8</v>
      </c>
      <c r="AB9" s="8">
        <v>2</v>
      </c>
      <c r="AC9" s="8">
        <v>8</v>
      </c>
      <c r="AD9" s="8">
        <v>0</v>
      </c>
      <c r="AE9" s="8">
        <v>8</v>
      </c>
      <c r="AF9" s="8">
        <v>2</v>
      </c>
      <c r="AG9" s="8">
        <v>8</v>
      </c>
      <c r="AH9" s="21">
        <v>2</v>
      </c>
      <c r="AI9" s="21">
        <v>8</v>
      </c>
      <c r="AJ9" s="21">
        <v>2</v>
      </c>
      <c r="AK9" s="21">
        <v>8</v>
      </c>
      <c r="AL9" s="21">
        <v>2</v>
      </c>
      <c r="AM9" s="43">
        <f>IFERROR(INDEX(Settings!$F:$F, MATCH('PROJECT NAME NOV'!$B9 &amp; "-" &amp; 'PROJECT NAME NOV'!$C9, Settings!$H:$H,0)), "")</f>
        <v>106.25</v>
      </c>
      <c r="AN9" s="43">
        <f>IFERROR(INDEX(Settings!$G:$G, MATCH('PROJECT NAME NOV'!$B9 &amp; "-" &amp; 'PROJECT NAME NOV'!$C9, Settings!$H:$H, 0)), "")</f>
        <v>850</v>
      </c>
      <c r="AO9" s="8">
        <f t="shared" si="9"/>
        <v>56</v>
      </c>
      <c r="AP9" s="8">
        <f t="shared" si="10"/>
        <v>10</v>
      </c>
      <c r="AQ9" s="43">
        <f t="shared" si="11"/>
        <v>7012.5</v>
      </c>
      <c r="AR9" s="43">
        <f t="shared" si="12"/>
        <v>350.625</v>
      </c>
      <c r="AS9" s="44">
        <f t="shared" si="13"/>
        <v>6661.875</v>
      </c>
      <c r="AT9" s="54"/>
      <c r="AU9" s="8">
        <v>8</v>
      </c>
      <c r="AV9" s="8">
        <v>2</v>
      </c>
      <c r="AW9" s="8">
        <v>8</v>
      </c>
      <c r="AX9" s="8">
        <v>4</v>
      </c>
      <c r="AY9" s="8">
        <v>8</v>
      </c>
      <c r="AZ9" s="8">
        <v>0</v>
      </c>
      <c r="BA9" s="8">
        <v>8</v>
      </c>
      <c r="BB9" s="8">
        <v>4</v>
      </c>
      <c r="BC9" s="8">
        <v>8</v>
      </c>
      <c r="BD9" s="8">
        <v>4</v>
      </c>
      <c r="BE9" s="8">
        <v>8</v>
      </c>
      <c r="BF9" s="28">
        <v>0</v>
      </c>
      <c r="BG9" s="28">
        <v>8</v>
      </c>
      <c r="BH9" s="8">
        <v>4</v>
      </c>
      <c r="BI9" s="8">
        <f t="shared" si="14"/>
        <v>56</v>
      </c>
      <c r="BJ9" s="8">
        <f t="shared" si="15"/>
        <v>18</v>
      </c>
      <c r="BK9" s="19">
        <f>IFERROR(INDEX(Settings!$F:$F, MATCH('PROJECT NAME NOV'!$B9 &amp; "-" &amp; 'PROJECT NAME NOV'!$C9, Settings!$H:$H,0)), "")</f>
        <v>106.25</v>
      </c>
      <c r="BL9" s="19">
        <f>IFERROR(INDEX(Settings!$G:$G, MATCH('PROJECT NAME NOV'!$B9 &amp; "-" &amp; 'PROJECT NAME NOV'!$C9, Settings!$H:$H, 0)), "")</f>
        <v>850</v>
      </c>
      <c r="BM9" s="19">
        <f t="shared" si="3"/>
        <v>7862.5</v>
      </c>
      <c r="BN9" s="19">
        <f>BM9*5%</f>
        <v>393.125</v>
      </c>
      <c r="BO9" s="19">
        <f t="shared" si="16"/>
        <v>7469.375</v>
      </c>
      <c r="BP9" s="54"/>
      <c r="BQ9" s="21">
        <v>8</v>
      </c>
      <c r="BR9" s="21">
        <v>2</v>
      </c>
      <c r="BS9" s="27">
        <v>8</v>
      </c>
      <c r="BT9" s="27">
        <v>2</v>
      </c>
      <c r="BU9" s="27">
        <v>8</v>
      </c>
      <c r="BV9" s="27">
        <v>0</v>
      </c>
      <c r="BW9" s="27">
        <v>8</v>
      </c>
      <c r="BX9" s="27">
        <v>2</v>
      </c>
      <c r="BY9" s="27">
        <v>8</v>
      </c>
      <c r="BZ9" s="27">
        <v>2</v>
      </c>
      <c r="CA9" s="27">
        <v>8</v>
      </c>
      <c r="CB9" s="27">
        <v>0</v>
      </c>
      <c r="CC9" s="27">
        <v>0</v>
      </c>
      <c r="CD9" s="27"/>
      <c r="CE9" s="8">
        <f t="shared" si="17"/>
        <v>48</v>
      </c>
      <c r="CF9" s="8">
        <f t="shared" si="18"/>
        <v>8</v>
      </c>
      <c r="CG9" s="19">
        <f>IFERROR(INDEX(Settings!$F:$F, MATCH('PROJECT NAME NOV'!$B9 &amp; "-" &amp; 'PROJECT NAME NOV'!$C9, Settings!$H:$H,0)), "")</f>
        <v>106.25</v>
      </c>
      <c r="CH9" s="19">
        <f>IFERROR(INDEX(Settings!$G:$G, MATCH('PROJECT NAME NOV'!$B9 &amp; "-" &amp; 'PROJECT NAME NOV'!$C9, Settings!$H:$H, 0)), "")</f>
        <v>850</v>
      </c>
      <c r="CI9" s="19">
        <f t="shared" si="4"/>
        <v>5950</v>
      </c>
      <c r="CJ9" s="19">
        <f>CI9*5%</f>
        <v>297.5</v>
      </c>
      <c r="CK9" s="19">
        <f t="shared" si="19"/>
        <v>5652.5</v>
      </c>
      <c r="CM9" s="27">
        <v>0</v>
      </c>
      <c r="CN9" s="27"/>
      <c r="CO9" s="27"/>
      <c r="CP9" s="27"/>
      <c r="CQ9" s="27"/>
      <c r="CR9" s="27"/>
      <c r="CS9" s="8">
        <f t="shared" si="5"/>
        <v>0</v>
      </c>
      <c r="CT9" s="8">
        <f t="shared" si="6"/>
        <v>0</v>
      </c>
      <c r="CU9" s="19">
        <f>IFERROR(INDEX(Settings!$F:$F, MATCH('PROJECT NAME NOV'!$B9 &amp; "-" &amp; 'PROJECT NAME NOV'!$C9, Settings!$H:$H,0)), "")</f>
        <v>106.25</v>
      </c>
      <c r="CV9" s="19">
        <f>IFERROR(INDEX(Settings!$G:$G, MATCH('PROJECT NAME NOV'!$B9 &amp; "-" &amp; 'PROJECT NAME NOV'!$C9, Settings!$H:$H, 0)), "")</f>
        <v>850</v>
      </c>
      <c r="CW9" s="19">
        <f t="shared" si="20"/>
        <v>0</v>
      </c>
      <c r="CX9" s="19">
        <f>CW9*5%</f>
        <v>0</v>
      </c>
      <c r="CY9" s="19">
        <f t="shared" si="7"/>
        <v>0</v>
      </c>
      <c r="DH9" s="86" t="str">
        <f>'Billable Till Date'!B5 &amp; "-" &amp; 'Billable Till Date'!C5</f>
        <v>L - Reinforcement Work (Site Infra)-MT</v>
      </c>
    </row>
    <row r="10" spans="2:120" x14ac:dyDescent="0.3">
      <c r="B10" s="3" t="s">
        <v>38</v>
      </c>
      <c r="C10" s="1" t="s">
        <v>19</v>
      </c>
      <c r="D10" s="1" t="s">
        <v>17</v>
      </c>
      <c r="E10" s="1" t="s">
        <v>41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8">
        <f t="shared" si="0"/>
        <v>0</v>
      </c>
      <c r="S10" s="8">
        <f t="shared" si="1"/>
        <v>0</v>
      </c>
      <c r="T10" s="19">
        <f>IFERROR(INDEX(Settings!$F:$F, MATCH('PROJECT NAME NOV'!$B10 &amp; "-" &amp; 'PROJECT NAME NOV'!$C10, Settings!$H:$H,0)), "")</f>
        <v>106.25</v>
      </c>
      <c r="U10" s="19">
        <f>IFERROR(INDEX(Settings!$G:$G, MATCH('PROJECT NAME NOV'!$B10 &amp; "-" &amp; 'PROJECT NAME NOV'!$C10, Settings!$H:$H, 0)), "")</f>
        <v>850</v>
      </c>
      <c r="V10" s="19">
        <f t="shared" si="2"/>
        <v>0</v>
      </c>
      <c r="W10" s="19">
        <f t="shared" ref="W10:W106" si="22">V10*5%</f>
        <v>0</v>
      </c>
      <c r="X10" s="19">
        <f t="shared" si="8"/>
        <v>0</v>
      </c>
      <c r="Y10" s="8">
        <v>8</v>
      </c>
      <c r="Z10" s="8">
        <v>0</v>
      </c>
      <c r="AA10" s="8">
        <v>8</v>
      </c>
      <c r="AB10" s="8">
        <v>2</v>
      </c>
      <c r="AC10" s="8">
        <v>8</v>
      </c>
      <c r="AD10" s="8">
        <v>0</v>
      </c>
      <c r="AE10" s="8">
        <v>0</v>
      </c>
      <c r="AF10" s="8">
        <v>0</v>
      </c>
      <c r="AG10" s="8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43">
        <f>IFERROR(INDEX(Settings!$F:$F, MATCH('PROJECT NAME NOV'!$B10 &amp; "-" &amp; 'PROJECT NAME NOV'!$C10, Settings!$H:$H,0)), "")</f>
        <v>106.25</v>
      </c>
      <c r="AN10" s="43">
        <f>IFERROR(INDEX(Settings!$G:$G, MATCH('PROJECT NAME NOV'!$B10 &amp; "-" &amp; 'PROJECT NAME NOV'!$C10, Settings!$H:$H, 0)), "")</f>
        <v>850</v>
      </c>
      <c r="AO10" s="8">
        <f t="shared" si="9"/>
        <v>24</v>
      </c>
      <c r="AP10" s="8">
        <f t="shared" si="10"/>
        <v>2</v>
      </c>
      <c r="AQ10" s="43">
        <f t="shared" si="11"/>
        <v>2762.5</v>
      </c>
      <c r="AR10" s="43">
        <f t="shared" si="12"/>
        <v>138.125</v>
      </c>
      <c r="AS10" s="44">
        <f t="shared" si="13"/>
        <v>2624.375</v>
      </c>
      <c r="AT10" s="54"/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28">
        <v>0</v>
      </c>
      <c r="BG10" s="28">
        <v>0</v>
      </c>
      <c r="BH10" s="8">
        <v>0</v>
      </c>
      <c r="BI10" s="8">
        <f t="shared" si="14"/>
        <v>0</v>
      </c>
      <c r="BJ10" s="8">
        <f t="shared" si="15"/>
        <v>0</v>
      </c>
      <c r="BK10" s="19">
        <f>IFERROR(INDEX(Settings!$F:$F, MATCH('PROJECT NAME NOV'!$B10 &amp; "-" &amp; 'PROJECT NAME NOV'!$C10, Settings!$H:$H,0)), "")</f>
        <v>106.25</v>
      </c>
      <c r="BL10" s="19">
        <f>IFERROR(INDEX(Settings!$G:$G, MATCH('PROJECT NAME NOV'!$B10 &amp; "-" &amp; 'PROJECT NAME NOV'!$C10, Settings!$H:$H, 0)), "")</f>
        <v>850</v>
      </c>
      <c r="BM10" s="19">
        <f t="shared" si="3"/>
        <v>0</v>
      </c>
      <c r="BN10" s="19">
        <f t="shared" ref="BN10:BN106" si="23">BM10*5%</f>
        <v>0</v>
      </c>
      <c r="BO10" s="19">
        <f t="shared" si="16"/>
        <v>0</v>
      </c>
      <c r="BP10" s="54"/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7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8">
        <f t="shared" si="17"/>
        <v>0</v>
      </c>
      <c r="CF10" s="8">
        <f t="shared" si="18"/>
        <v>0</v>
      </c>
      <c r="CG10" s="19">
        <f>IFERROR(INDEX(Settings!$F:$F, MATCH('PROJECT NAME NOV'!$B10 &amp; "-" &amp; 'PROJECT NAME NOV'!$C10, Settings!$H:$H,0)), "")</f>
        <v>106.25</v>
      </c>
      <c r="CH10" s="19">
        <f>IFERROR(INDEX(Settings!$G:$G, MATCH('PROJECT NAME NOV'!$B10 &amp; "-" &amp; 'PROJECT NAME NOV'!$C10, Settings!$H:$H, 0)), "")</f>
        <v>850</v>
      </c>
      <c r="CI10" s="19">
        <f t="shared" si="4"/>
        <v>0</v>
      </c>
      <c r="CJ10" s="19">
        <f t="shared" ref="CJ10:CJ106" si="24">CI10*5%</f>
        <v>0</v>
      </c>
      <c r="CK10" s="19">
        <f t="shared" si="19"/>
        <v>0</v>
      </c>
      <c r="CM10" s="27">
        <v>8</v>
      </c>
      <c r="CN10" s="27">
        <v>4</v>
      </c>
      <c r="CO10" s="27">
        <v>8</v>
      </c>
      <c r="CP10" s="27">
        <v>4</v>
      </c>
      <c r="CQ10" s="27"/>
      <c r="CR10" s="27"/>
      <c r="CS10" s="8">
        <f t="shared" si="5"/>
        <v>16</v>
      </c>
      <c r="CT10" s="8">
        <f t="shared" si="6"/>
        <v>8</v>
      </c>
      <c r="CU10" s="19">
        <f>IFERROR(INDEX(Settings!$F:$F, MATCH('PROJECT NAME NOV'!$B10 &amp; "-" &amp; 'PROJECT NAME NOV'!$C10, Settings!$H:$H,0)), "")</f>
        <v>106.25</v>
      </c>
      <c r="CV10" s="19">
        <f>IFERROR(INDEX(Settings!$G:$G, MATCH('PROJECT NAME NOV'!$B10 &amp; "-" &amp; 'PROJECT NAME NOV'!$C10, Settings!$H:$H, 0)), "")</f>
        <v>850</v>
      </c>
      <c r="CW10" s="19">
        <f t="shared" si="20"/>
        <v>2550</v>
      </c>
      <c r="CX10" s="19">
        <f t="shared" si="21"/>
        <v>127.5</v>
      </c>
      <c r="CY10" s="19">
        <f t="shared" si="7"/>
        <v>2422.5</v>
      </c>
      <c r="DH10" s="87" t="str">
        <f>'Billable Till Date'!B6 &amp; "-" &amp; 'Billable Till Date'!C6</f>
        <v>L - Shuttering Work (Site Infra)-Sqm</v>
      </c>
    </row>
    <row r="11" spans="2:120" x14ac:dyDescent="0.3">
      <c r="B11" s="3" t="s">
        <v>38</v>
      </c>
      <c r="C11" s="1" t="s">
        <v>19</v>
      </c>
      <c r="D11" s="1" t="s">
        <v>18</v>
      </c>
      <c r="E11" s="1" t="s">
        <v>42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8">
        <f t="shared" si="0"/>
        <v>0</v>
      </c>
      <c r="S11" s="8">
        <f t="shared" si="1"/>
        <v>0</v>
      </c>
      <c r="T11" s="19">
        <f>IFERROR(INDEX(Settings!$F:$F, MATCH('PROJECT NAME NOV'!$B11 &amp; "-" &amp; 'PROJECT NAME NOV'!$C11, Settings!$H:$H,0)), "")</f>
        <v>106.25</v>
      </c>
      <c r="U11" s="19">
        <f>IFERROR(INDEX(Settings!$G:$G, MATCH('PROJECT NAME NOV'!$B11 &amp; "-" &amp; 'PROJECT NAME NOV'!$C11, Settings!$H:$H, 0)), "")</f>
        <v>850</v>
      </c>
      <c r="V11" s="19">
        <f t="shared" si="2"/>
        <v>0</v>
      </c>
      <c r="W11" s="19">
        <f t="shared" si="22"/>
        <v>0</v>
      </c>
      <c r="X11" s="19">
        <f t="shared" si="8"/>
        <v>0</v>
      </c>
      <c r="Y11" s="8">
        <v>8</v>
      </c>
      <c r="Z11" s="8">
        <v>0</v>
      </c>
      <c r="AA11" s="8">
        <v>8</v>
      </c>
      <c r="AB11" s="8">
        <v>2</v>
      </c>
      <c r="AC11" s="8">
        <v>8</v>
      </c>
      <c r="AD11" s="8">
        <v>0</v>
      </c>
      <c r="AE11" s="8">
        <v>8</v>
      </c>
      <c r="AF11" s="8">
        <v>2</v>
      </c>
      <c r="AG11" s="8">
        <v>8</v>
      </c>
      <c r="AH11" s="21">
        <v>2</v>
      </c>
      <c r="AI11" s="21">
        <v>8</v>
      </c>
      <c r="AJ11" s="21">
        <v>2</v>
      </c>
      <c r="AK11" s="21">
        <v>8</v>
      </c>
      <c r="AL11" s="21">
        <v>2</v>
      </c>
      <c r="AM11" s="43">
        <f>IFERROR(INDEX(Settings!$F:$F, MATCH('PROJECT NAME NOV'!$B11 &amp; "-" &amp; 'PROJECT NAME NOV'!$C11, Settings!$H:$H,0)), "")</f>
        <v>106.25</v>
      </c>
      <c r="AN11" s="43">
        <f>IFERROR(INDEX(Settings!$G:$G, MATCH('PROJECT NAME NOV'!$B11 &amp; "-" &amp; 'PROJECT NAME NOV'!$C11, Settings!$H:$H, 0)), "")</f>
        <v>850</v>
      </c>
      <c r="AO11" s="8">
        <f t="shared" si="9"/>
        <v>56</v>
      </c>
      <c r="AP11" s="8">
        <f t="shared" si="10"/>
        <v>10</v>
      </c>
      <c r="AQ11" s="43">
        <f t="shared" si="11"/>
        <v>7012.5</v>
      </c>
      <c r="AR11" s="43">
        <f t="shared" si="12"/>
        <v>350.625</v>
      </c>
      <c r="AS11" s="44">
        <f t="shared" si="13"/>
        <v>6661.875</v>
      </c>
      <c r="AT11" s="54"/>
      <c r="AU11" s="8">
        <v>8</v>
      </c>
      <c r="AV11" s="8">
        <v>2</v>
      </c>
      <c r="AW11" s="8">
        <v>8</v>
      </c>
      <c r="AX11" s="8">
        <v>4</v>
      </c>
      <c r="AY11" s="8">
        <v>8</v>
      </c>
      <c r="AZ11" s="8">
        <v>0</v>
      </c>
      <c r="BA11" s="8">
        <v>8</v>
      </c>
      <c r="BB11" s="8">
        <v>4</v>
      </c>
      <c r="BC11" s="8">
        <v>8</v>
      </c>
      <c r="BD11" s="8">
        <v>4</v>
      </c>
      <c r="BE11" s="8">
        <v>8</v>
      </c>
      <c r="BF11" s="28">
        <v>0</v>
      </c>
      <c r="BG11" s="28">
        <v>8</v>
      </c>
      <c r="BH11" s="8">
        <v>4</v>
      </c>
      <c r="BI11" s="8">
        <f t="shared" si="14"/>
        <v>56</v>
      </c>
      <c r="BJ11" s="8">
        <f t="shared" si="15"/>
        <v>18</v>
      </c>
      <c r="BK11" s="19">
        <f>IFERROR(INDEX(Settings!$F:$F, MATCH('PROJECT NAME NOV'!$B11 &amp; "-" &amp; 'PROJECT NAME NOV'!$C11, Settings!$H:$H,0)), "")</f>
        <v>106.25</v>
      </c>
      <c r="BL11" s="19">
        <f>IFERROR(INDEX(Settings!$G:$G, MATCH('PROJECT NAME NOV'!$B11 &amp; "-" &amp; 'PROJECT NAME NOV'!$C11, Settings!$H:$H, 0)), "")</f>
        <v>850</v>
      </c>
      <c r="BM11" s="19">
        <f t="shared" si="3"/>
        <v>7862.5</v>
      </c>
      <c r="BN11" s="19">
        <f t="shared" si="23"/>
        <v>393.125</v>
      </c>
      <c r="BO11" s="19">
        <f t="shared" si="16"/>
        <v>7469.375</v>
      </c>
      <c r="BP11" s="54"/>
      <c r="BQ11" s="21">
        <v>8</v>
      </c>
      <c r="BR11" s="21">
        <v>2</v>
      </c>
      <c r="BS11" s="27">
        <v>8</v>
      </c>
      <c r="BT11" s="27">
        <v>2</v>
      </c>
      <c r="BU11" s="27">
        <v>8</v>
      </c>
      <c r="BV11" s="27">
        <v>0</v>
      </c>
      <c r="BW11" s="27">
        <v>8</v>
      </c>
      <c r="BX11" s="27">
        <v>2</v>
      </c>
      <c r="BY11" s="27">
        <v>8</v>
      </c>
      <c r="BZ11" s="27">
        <v>2</v>
      </c>
      <c r="CA11" s="27">
        <v>8</v>
      </c>
      <c r="CB11" s="27">
        <v>0</v>
      </c>
      <c r="CC11" s="27">
        <v>0</v>
      </c>
      <c r="CD11" s="27"/>
      <c r="CE11" s="8">
        <f t="shared" si="17"/>
        <v>48</v>
      </c>
      <c r="CF11" s="8">
        <f t="shared" si="18"/>
        <v>8</v>
      </c>
      <c r="CG11" s="19">
        <f>IFERROR(INDEX(Settings!$F:$F, MATCH('PROJECT NAME NOV'!$B11 &amp; "-" &amp; 'PROJECT NAME NOV'!$C11, Settings!$H:$H,0)), "")</f>
        <v>106.25</v>
      </c>
      <c r="CH11" s="19">
        <f>IFERROR(INDEX(Settings!$G:$G, MATCH('PROJECT NAME NOV'!$B11 &amp; "-" &amp; 'PROJECT NAME NOV'!$C11, Settings!$H:$H, 0)), "")</f>
        <v>850</v>
      </c>
      <c r="CI11" s="19">
        <f t="shared" si="4"/>
        <v>5950</v>
      </c>
      <c r="CJ11" s="19">
        <f t="shared" si="24"/>
        <v>297.5</v>
      </c>
      <c r="CK11" s="19">
        <f t="shared" si="19"/>
        <v>5652.5</v>
      </c>
      <c r="CM11" s="27">
        <v>0</v>
      </c>
      <c r="CN11" s="27"/>
      <c r="CO11" s="27"/>
      <c r="CP11" s="27"/>
      <c r="CQ11" s="27"/>
      <c r="CR11" s="27"/>
      <c r="CS11" s="8">
        <f t="shared" si="5"/>
        <v>0</v>
      </c>
      <c r="CT11" s="8">
        <f t="shared" si="6"/>
        <v>0</v>
      </c>
      <c r="CU11" s="19">
        <f>IFERROR(INDEX(Settings!$F:$F, MATCH('PROJECT NAME NOV'!$B11 &amp; "-" &amp; 'PROJECT NAME NOV'!$C11, Settings!$H:$H,0)), "")</f>
        <v>106.25</v>
      </c>
      <c r="CV11" s="19">
        <f>IFERROR(INDEX(Settings!$G:$G, MATCH('PROJECT NAME NOV'!$B11 &amp; "-" &amp; 'PROJECT NAME NOV'!$C11, Settings!$H:$H, 0)), "")</f>
        <v>850</v>
      </c>
      <c r="CW11" s="19">
        <f t="shared" si="20"/>
        <v>0</v>
      </c>
      <c r="CX11" s="19">
        <f t="shared" si="21"/>
        <v>0</v>
      </c>
      <c r="CY11" s="19">
        <f t="shared" si="7"/>
        <v>0</v>
      </c>
      <c r="DH11" s="86" t="str">
        <f>'Billable Till Date'!B7 &amp; "-" &amp; 'Billable Till Date'!C7</f>
        <v>Task/Activity-Unit Type</v>
      </c>
    </row>
    <row r="12" spans="2:120" x14ac:dyDescent="0.3">
      <c r="B12" s="3" t="s">
        <v>38</v>
      </c>
      <c r="C12" s="1" t="s">
        <v>19</v>
      </c>
      <c r="D12" s="1" t="s">
        <v>20</v>
      </c>
      <c r="E12" s="1" t="s">
        <v>43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8">
        <f t="shared" si="0"/>
        <v>0</v>
      </c>
      <c r="S12" s="8">
        <f t="shared" si="1"/>
        <v>0</v>
      </c>
      <c r="T12" s="19">
        <f>IFERROR(INDEX(Settings!$F:$F, MATCH('PROJECT NAME NOV'!$B12 &amp; "-" &amp; 'PROJECT NAME NOV'!$C12, Settings!$H:$H,0)), "")</f>
        <v>106.25</v>
      </c>
      <c r="U12" s="19">
        <f>IFERROR(INDEX(Settings!$G:$G, MATCH('PROJECT NAME NOV'!$B12 &amp; "-" &amp; 'PROJECT NAME NOV'!$C12, Settings!$H:$H, 0)), "")</f>
        <v>850</v>
      </c>
      <c r="V12" s="19">
        <f t="shared" si="2"/>
        <v>0</v>
      </c>
      <c r="W12" s="19">
        <f t="shared" si="22"/>
        <v>0</v>
      </c>
      <c r="X12" s="19">
        <f t="shared" si="8"/>
        <v>0</v>
      </c>
      <c r="Y12" s="8">
        <v>8</v>
      </c>
      <c r="Z12" s="28">
        <v>0</v>
      </c>
      <c r="AA12" s="8">
        <v>8</v>
      </c>
      <c r="AB12" s="8">
        <v>2</v>
      </c>
      <c r="AC12" s="8">
        <v>8</v>
      </c>
      <c r="AD12" s="28">
        <v>0</v>
      </c>
      <c r="AE12" s="28">
        <v>8</v>
      </c>
      <c r="AF12" s="8">
        <v>2</v>
      </c>
      <c r="AG12" s="8">
        <v>8</v>
      </c>
      <c r="AH12" s="21">
        <v>2</v>
      </c>
      <c r="AI12" s="21">
        <v>8</v>
      </c>
      <c r="AJ12" s="21">
        <v>2</v>
      </c>
      <c r="AK12" s="21">
        <v>8</v>
      </c>
      <c r="AL12" s="21">
        <v>2</v>
      </c>
      <c r="AM12" s="43">
        <f>IFERROR(INDEX(Settings!$F:$F, MATCH('PROJECT NAME NOV'!$B12 &amp; "-" &amp; 'PROJECT NAME NOV'!$C12, Settings!$H:$H,0)), "")</f>
        <v>106.25</v>
      </c>
      <c r="AN12" s="43">
        <f>IFERROR(INDEX(Settings!$G:$G, MATCH('PROJECT NAME NOV'!$B12 &amp; "-" &amp; 'PROJECT NAME NOV'!$C12, Settings!$H:$H, 0)), "")</f>
        <v>850</v>
      </c>
      <c r="AO12" s="8">
        <f t="shared" si="9"/>
        <v>56</v>
      </c>
      <c r="AP12" s="8">
        <f t="shared" si="10"/>
        <v>10</v>
      </c>
      <c r="AQ12" s="43">
        <f t="shared" si="11"/>
        <v>7012.5</v>
      </c>
      <c r="AR12" s="43">
        <f t="shared" si="12"/>
        <v>350.625</v>
      </c>
      <c r="AS12" s="44">
        <f t="shared" si="13"/>
        <v>6661.875</v>
      </c>
      <c r="AT12" s="54"/>
      <c r="AU12" s="8">
        <v>8</v>
      </c>
      <c r="AV12" s="8">
        <v>2</v>
      </c>
      <c r="AW12" s="8">
        <v>8</v>
      </c>
      <c r="AX12" s="8">
        <v>4</v>
      </c>
      <c r="AY12" s="8">
        <v>8</v>
      </c>
      <c r="AZ12" s="8">
        <v>0</v>
      </c>
      <c r="BA12" s="8">
        <v>8</v>
      </c>
      <c r="BB12" s="8">
        <v>4</v>
      </c>
      <c r="BC12" s="8">
        <v>8</v>
      </c>
      <c r="BD12" s="8">
        <v>4</v>
      </c>
      <c r="BE12" s="8">
        <v>8</v>
      </c>
      <c r="BF12" s="28">
        <v>0</v>
      </c>
      <c r="BG12" s="28">
        <v>8</v>
      </c>
      <c r="BH12" s="8">
        <v>4</v>
      </c>
      <c r="BI12" s="8">
        <f t="shared" si="14"/>
        <v>56</v>
      </c>
      <c r="BJ12" s="8">
        <f t="shared" si="15"/>
        <v>18</v>
      </c>
      <c r="BK12" s="19">
        <f>IFERROR(INDEX(Settings!$F:$F, MATCH('PROJECT NAME NOV'!$B12 &amp; "-" &amp; 'PROJECT NAME NOV'!$C12, Settings!$H:$H,0)), "")</f>
        <v>106.25</v>
      </c>
      <c r="BL12" s="19">
        <f>IFERROR(INDEX(Settings!$G:$G, MATCH('PROJECT NAME NOV'!$B12 &amp; "-" &amp; 'PROJECT NAME NOV'!$C12, Settings!$H:$H, 0)), "")</f>
        <v>850</v>
      </c>
      <c r="BM12" s="19">
        <f t="shared" si="3"/>
        <v>7862.5</v>
      </c>
      <c r="BN12" s="19">
        <f t="shared" si="23"/>
        <v>393.125</v>
      </c>
      <c r="BO12" s="19">
        <f t="shared" si="16"/>
        <v>7469.375</v>
      </c>
      <c r="BP12" s="54"/>
      <c r="BQ12" s="21">
        <v>8</v>
      </c>
      <c r="BR12" s="21">
        <v>2</v>
      </c>
      <c r="BS12" s="27">
        <v>8</v>
      </c>
      <c r="BT12" s="27">
        <v>2</v>
      </c>
      <c r="BU12" s="27">
        <v>8</v>
      </c>
      <c r="BV12" s="27">
        <v>0</v>
      </c>
      <c r="BW12" s="27">
        <v>8</v>
      </c>
      <c r="BX12" s="27">
        <v>2</v>
      </c>
      <c r="BY12" s="27">
        <v>8</v>
      </c>
      <c r="BZ12" s="27">
        <v>2</v>
      </c>
      <c r="CA12" s="27">
        <v>8</v>
      </c>
      <c r="CB12" s="27">
        <v>2</v>
      </c>
      <c r="CC12" s="27">
        <v>8</v>
      </c>
      <c r="CD12" s="27"/>
      <c r="CE12" s="8">
        <f t="shared" si="17"/>
        <v>56</v>
      </c>
      <c r="CF12" s="8">
        <f t="shared" si="18"/>
        <v>10</v>
      </c>
      <c r="CG12" s="19">
        <f>IFERROR(INDEX(Settings!$F:$F, MATCH('PROJECT NAME NOV'!$B12 &amp; "-" &amp; 'PROJECT NAME NOV'!$C12, Settings!$H:$H,0)), "")</f>
        <v>106.25</v>
      </c>
      <c r="CH12" s="19">
        <f>IFERROR(INDEX(Settings!$G:$G, MATCH('PROJECT NAME NOV'!$B12 &amp; "-" &amp; 'PROJECT NAME NOV'!$C12, Settings!$H:$H, 0)), "")</f>
        <v>850</v>
      </c>
      <c r="CI12" s="19">
        <f t="shared" si="4"/>
        <v>7012.5</v>
      </c>
      <c r="CJ12" s="19">
        <f t="shared" si="24"/>
        <v>350.625</v>
      </c>
      <c r="CK12" s="19">
        <f t="shared" si="19"/>
        <v>6661.875</v>
      </c>
      <c r="CM12" s="27">
        <v>8</v>
      </c>
      <c r="CN12" s="27">
        <v>4</v>
      </c>
      <c r="CO12" s="27">
        <v>8</v>
      </c>
      <c r="CP12" s="27">
        <v>4</v>
      </c>
      <c r="CQ12" s="27"/>
      <c r="CR12" s="27"/>
      <c r="CS12" s="8">
        <f t="shared" si="5"/>
        <v>16</v>
      </c>
      <c r="CT12" s="8">
        <f t="shared" si="6"/>
        <v>8</v>
      </c>
      <c r="CU12" s="19">
        <f>IFERROR(INDEX(Settings!$F:$F, MATCH('PROJECT NAME NOV'!$B12 &amp; "-" &amp; 'PROJECT NAME NOV'!$C12, Settings!$H:$H,0)), "")</f>
        <v>106.25</v>
      </c>
      <c r="CV12" s="19">
        <f>IFERROR(INDEX(Settings!$G:$G, MATCH('PROJECT NAME NOV'!$B12 &amp; "-" &amp; 'PROJECT NAME NOV'!$C12, Settings!$H:$H, 0)), "")</f>
        <v>850</v>
      </c>
      <c r="CW12" s="19">
        <f t="shared" si="20"/>
        <v>2550</v>
      </c>
      <c r="CX12" s="19">
        <f t="shared" si="21"/>
        <v>127.5</v>
      </c>
      <c r="CY12" s="19">
        <f t="shared" si="7"/>
        <v>2422.5</v>
      </c>
      <c r="DH12" s="87" t="str">
        <f>'Billable Till Date'!B8 &amp; "-" &amp; 'Billable Till Date'!C8</f>
        <v>Task/Activity-Unit Type</v>
      </c>
    </row>
    <row r="13" spans="2:120" x14ac:dyDescent="0.3">
      <c r="B13" s="3" t="s">
        <v>38</v>
      </c>
      <c r="C13" s="1" t="s">
        <v>19</v>
      </c>
      <c r="D13" s="1" t="s">
        <v>21</v>
      </c>
      <c r="E13" s="1" t="s">
        <v>44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8">
        <f t="shared" si="0"/>
        <v>0</v>
      </c>
      <c r="S13" s="8">
        <f t="shared" si="1"/>
        <v>0</v>
      </c>
      <c r="T13" s="19">
        <f>IFERROR(INDEX(Settings!$F:$F, MATCH('PROJECT NAME NOV'!$B13 &amp; "-" &amp; 'PROJECT NAME NOV'!$C13, Settings!$H:$H,0)), "")</f>
        <v>106.25</v>
      </c>
      <c r="U13" s="19">
        <f>IFERROR(INDEX(Settings!$G:$G, MATCH('PROJECT NAME NOV'!$B13 &amp; "-" &amp; 'PROJECT NAME NOV'!$C13, Settings!$H:$H, 0)), "")</f>
        <v>850</v>
      </c>
      <c r="V13" s="19">
        <f t="shared" si="2"/>
        <v>0</v>
      </c>
      <c r="W13" s="19">
        <f t="shared" si="22"/>
        <v>0</v>
      </c>
      <c r="X13" s="19">
        <f t="shared" si="8"/>
        <v>0</v>
      </c>
      <c r="Y13" s="8">
        <v>8</v>
      </c>
      <c r="Z13" s="8">
        <v>0</v>
      </c>
      <c r="AA13" s="8">
        <v>8</v>
      </c>
      <c r="AB13" s="8">
        <v>2</v>
      </c>
      <c r="AC13" s="8">
        <v>8</v>
      </c>
      <c r="AD13" s="8">
        <v>0</v>
      </c>
      <c r="AE13" s="8">
        <v>8</v>
      </c>
      <c r="AF13" s="8">
        <v>2</v>
      </c>
      <c r="AG13" s="8">
        <v>8</v>
      </c>
      <c r="AH13" s="21">
        <v>2</v>
      </c>
      <c r="AI13" s="21">
        <v>0</v>
      </c>
      <c r="AJ13" s="21">
        <v>0</v>
      </c>
      <c r="AK13" s="21">
        <v>8</v>
      </c>
      <c r="AL13" s="21">
        <v>2</v>
      </c>
      <c r="AM13" s="43">
        <f>IFERROR(INDEX(Settings!$F:$F, MATCH('PROJECT NAME NOV'!$B13 &amp; "-" &amp; 'PROJECT NAME NOV'!$C13, Settings!$H:$H,0)), "")</f>
        <v>106.25</v>
      </c>
      <c r="AN13" s="43">
        <f>IFERROR(INDEX(Settings!$G:$G, MATCH('PROJECT NAME NOV'!$B13 &amp; "-" &amp; 'PROJECT NAME NOV'!$C13, Settings!$H:$H, 0)), "")</f>
        <v>850</v>
      </c>
      <c r="AO13" s="8">
        <f t="shared" si="9"/>
        <v>48</v>
      </c>
      <c r="AP13" s="8">
        <f t="shared" si="10"/>
        <v>8</v>
      </c>
      <c r="AQ13" s="43">
        <f t="shared" si="11"/>
        <v>5950</v>
      </c>
      <c r="AR13" s="43">
        <f t="shared" si="12"/>
        <v>297.5</v>
      </c>
      <c r="AS13" s="44">
        <f t="shared" si="13"/>
        <v>5652.5</v>
      </c>
      <c r="AT13" s="54"/>
      <c r="AU13" s="8">
        <v>8</v>
      </c>
      <c r="AV13" s="8">
        <v>2</v>
      </c>
      <c r="AW13" s="8">
        <v>8</v>
      </c>
      <c r="AX13" s="8">
        <v>4</v>
      </c>
      <c r="AY13" s="8">
        <v>8</v>
      </c>
      <c r="AZ13" s="8">
        <v>0</v>
      </c>
      <c r="BA13" s="8">
        <v>8</v>
      </c>
      <c r="BB13" s="8">
        <v>4</v>
      </c>
      <c r="BC13" s="8">
        <v>8</v>
      </c>
      <c r="BD13" s="8">
        <v>4</v>
      </c>
      <c r="BE13" s="8">
        <v>8</v>
      </c>
      <c r="BF13" s="28">
        <v>0</v>
      </c>
      <c r="BG13" s="28">
        <v>8</v>
      </c>
      <c r="BH13" s="8">
        <v>4</v>
      </c>
      <c r="BI13" s="8">
        <f t="shared" si="14"/>
        <v>56</v>
      </c>
      <c r="BJ13" s="8">
        <f t="shared" si="15"/>
        <v>18</v>
      </c>
      <c r="BK13" s="19">
        <f>IFERROR(INDEX(Settings!$F:$F, MATCH('PROJECT NAME NOV'!$B13 &amp; "-" &amp; 'PROJECT NAME NOV'!$C13, Settings!$H:$H,0)), "")</f>
        <v>106.25</v>
      </c>
      <c r="BL13" s="19">
        <f>IFERROR(INDEX(Settings!$G:$G, MATCH('PROJECT NAME NOV'!$B13 &amp; "-" &amp; 'PROJECT NAME NOV'!$C13, Settings!$H:$H, 0)), "")</f>
        <v>850</v>
      </c>
      <c r="BM13" s="19">
        <f t="shared" si="3"/>
        <v>7862.5</v>
      </c>
      <c r="BN13" s="19">
        <f t="shared" si="23"/>
        <v>393.125</v>
      </c>
      <c r="BO13" s="19">
        <f t="shared" si="16"/>
        <v>7469.375</v>
      </c>
      <c r="BP13" s="54"/>
      <c r="BQ13" s="21">
        <v>8</v>
      </c>
      <c r="BR13" s="21">
        <v>2</v>
      </c>
      <c r="BS13" s="27">
        <v>8</v>
      </c>
      <c r="BT13" s="27">
        <v>2</v>
      </c>
      <c r="BU13" s="27">
        <v>8</v>
      </c>
      <c r="BV13" s="27">
        <v>0</v>
      </c>
      <c r="BW13" s="27">
        <v>8</v>
      </c>
      <c r="BX13" s="27">
        <v>2</v>
      </c>
      <c r="BY13" s="27">
        <v>8</v>
      </c>
      <c r="BZ13" s="27">
        <v>2</v>
      </c>
      <c r="CA13" s="27">
        <v>8</v>
      </c>
      <c r="CB13" s="27">
        <v>2</v>
      </c>
      <c r="CC13" s="27">
        <v>8</v>
      </c>
      <c r="CD13" s="27"/>
      <c r="CE13" s="8">
        <f t="shared" si="17"/>
        <v>56</v>
      </c>
      <c r="CF13" s="8">
        <f t="shared" si="18"/>
        <v>10</v>
      </c>
      <c r="CG13" s="19">
        <f>IFERROR(INDEX(Settings!$F:$F, MATCH('PROJECT NAME NOV'!$B13 &amp; "-" &amp; 'PROJECT NAME NOV'!$C13, Settings!$H:$H,0)), "")</f>
        <v>106.25</v>
      </c>
      <c r="CH13" s="19">
        <f>IFERROR(INDEX(Settings!$G:$G, MATCH('PROJECT NAME NOV'!$B13 &amp; "-" &amp; 'PROJECT NAME NOV'!$C13, Settings!$H:$H, 0)), "")</f>
        <v>850</v>
      </c>
      <c r="CI13" s="19">
        <f t="shared" si="4"/>
        <v>7012.5</v>
      </c>
      <c r="CJ13" s="19">
        <f t="shared" si="24"/>
        <v>350.625</v>
      </c>
      <c r="CK13" s="19">
        <f t="shared" si="19"/>
        <v>6661.875</v>
      </c>
      <c r="CM13" s="27"/>
      <c r="CN13" s="27"/>
      <c r="CO13" s="27"/>
      <c r="CP13" s="27"/>
      <c r="CQ13" s="27"/>
      <c r="CR13" s="27"/>
      <c r="CS13" s="8">
        <f t="shared" si="5"/>
        <v>0</v>
      </c>
      <c r="CT13" s="8">
        <f t="shared" si="6"/>
        <v>0</v>
      </c>
      <c r="CU13" s="19">
        <f>IFERROR(INDEX(Settings!$F:$F, MATCH('PROJECT NAME NOV'!$B13 &amp; "-" &amp; 'PROJECT NAME NOV'!$C13, Settings!$H:$H,0)), "")</f>
        <v>106.25</v>
      </c>
      <c r="CV13" s="19">
        <f>IFERROR(INDEX(Settings!$G:$G, MATCH('PROJECT NAME NOV'!$B13 &amp; "-" &amp; 'PROJECT NAME NOV'!$C13, Settings!$H:$H, 0)), "")</f>
        <v>850</v>
      </c>
      <c r="CW13" s="19">
        <f t="shared" si="20"/>
        <v>0</v>
      </c>
      <c r="CX13" s="19">
        <f t="shared" si="21"/>
        <v>0</v>
      </c>
      <c r="CY13" s="19">
        <f t="shared" si="7"/>
        <v>0</v>
      </c>
      <c r="DH13" s="86" t="str">
        <f>'Billable Till Date'!B9 &amp; "-" &amp; 'Billable Till Date'!C9</f>
        <v>Task/Activity-Unit Type</v>
      </c>
      <c r="DK13" s="101"/>
      <c r="DL13" s="2"/>
      <c r="DM13" s="10"/>
      <c r="DN13" s="10"/>
      <c r="DO13" s="104"/>
      <c r="DP13" s="104"/>
    </row>
    <row r="14" spans="2:120" x14ac:dyDescent="0.3">
      <c r="B14" s="3" t="s">
        <v>38</v>
      </c>
      <c r="C14" s="1" t="s">
        <v>30</v>
      </c>
      <c r="D14" s="1" t="s">
        <v>32</v>
      </c>
      <c r="E14" s="1" t="s">
        <v>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8">
        <f t="shared" si="0"/>
        <v>0</v>
      </c>
      <c r="S14" s="8">
        <f t="shared" si="1"/>
        <v>0</v>
      </c>
      <c r="T14" s="19">
        <f>IFERROR(INDEX(Settings!$F:$F, MATCH('PROJECT NAME NOV'!$B14 &amp; "-" &amp; 'PROJECT NAME NOV'!$C14, Settings!$H:$H,0)), "")</f>
        <v>81.25</v>
      </c>
      <c r="U14" s="19">
        <f>IFERROR(INDEX(Settings!$G:$G, MATCH('PROJECT NAME NOV'!$B14 &amp; "-" &amp; 'PROJECT NAME NOV'!$C14, Settings!$H:$H, 0)), "")</f>
        <v>650</v>
      </c>
      <c r="V14" s="19">
        <f t="shared" si="2"/>
        <v>0</v>
      </c>
      <c r="W14" s="19">
        <f t="shared" si="22"/>
        <v>0</v>
      </c>
      <c r="X14" s="19">
        <f t="shared" si="8"/>
        <v>0</v>
      </c>
      <c r="Y14" s="8">
        <v>8</v>
      </c>
      <c r="Z14" s="8">
        <v>0</v>
      </c>
      <c r="AA14" s="8">
        <v>8</v>
      </c>
      <c r="AB14" s="8">
        <v>2</v>
      </c>
      <c r="AC14" s="8">
        <v>0</v>
      </c>
      <c r="AD14" s="8">
        <v>0</v>
      </c>
      <c r="AE14" s="8">
        <v>8</v>
      </c>
      <c r="AF14" s="8">
        <v>2</v>
      </c>
      <c r="AG14" s="8">
        <v>8</v>
      </c>
      <c r="AH14" s="21">
        <v>2</v>
      </c>
      <c r="AI14" s="21">
        <v>8</v>
      </c>
      <c r="AJ14" s="21">
        <v>2</v>
      </c>
      <c r="AK14" s="21">
        <v>8</v>
      </c>
      <c r="AL14" s="21">
        <v>2</v>
      </c>
      <c r="AM14" s="43">
        <f>IFERROR(INDEX(Settings!$F:$F, MATCH('PROJECT NAME NOV'!$B14 &amp; "-" &amp; 'PROJECT NAME NOV'!$C14, Settings!$H:$H,0)), "")</f>
        <v>81.25</v>
      </c>
      <c r="AN14" s="43">
        <f>IFERROR(INDEX(Settings!$G:$G, MATCH('PROJECT NAME NOV'!$B14 &amp; "-" &amp; 'PROJECT NAME NOV'!$C14, Settings!$H:$H, 0)), "")</f>
        <v>650</v>
      </c>
      <c r="AO14" s="8">
        <f t="shared" si="9"/>
        <v>48</v>
      </c>
      <c r="AP14" s="8">
        <f t="shared" si="10"/>
        <v>10</v>
      </c>
      <c r="AQ14" s="43">
        <f t="shared" si="11"/>
        <v>4712.5</v>
      </c>
      <c r="AR14" s="43">
        <f t="shared" si="12"/>
        <v>235.625</v>
      </c>
      <c r="AS14" s="44">
        <f t="shared" si="13"/>
        <v>4476.875</v>
      </c>
      <c r="AT14" s="54"/>
      <c r="AU14" s="8">
        <v>8</v>
      </c>
      <c r="AV14" s="8">
        <v>2</v>
      </c>
      <c r="AW14" s="8">
        <v>8</v>
      </c>
      <c r="AX14" s="8">
        <v>4</v>
      </c>
      <c r="AY14" s="8">
        <v>8</v>
      </c>
      <c r="AZ14" s="8">
        <v>0</v>
      </c>
      <c r="BA14" s="8">
        <v>8</v>
      </c>
      <c r="BB14" s="8">
        <v>4</v>
      </c>
      <c r="BC14" s="8">
        <v>8</v>
      </c>
      <c r="BD14" s="8">
        <v>4</v>
      </c>
      <c r="BE14" s="8">
        <v>8</v>
      </c>
      <c r="BF14" s="28">
        <v>0</v>
      </c>
      <c r="BG14" s="28">
        <v>8</v>
      </c>
      <c r="BH14" s="8">
        <v>4</v>
      </c>
      <c r="BI14" s="8">
        <f t="shared" si="14"/>
        <v>56</v>
      </c>
      <c r="BJ14" s="8">
        <f t="shared" si="15"/>
        <v>18</v>
      </c>
      <c r="BK14" s="19">
        <f>IFERROR(INDEX(Settings!$F:$F, MATCH('PROJECT NAME NOV'!$B14 &amp; "-" &amp; 'PROJECT NAME NOV'!$C14, Settings!$H:$H,0)), "")</f>
        <v>81.25</v>
      </c>
      <c r="BL14" s="19">
        <f>IFERROR(INDEX(Settings!$G:$G, MATCH('PROJECT NAME NOV'!$B14 &amp; "-" &amp; 'PROJECT NAME NOV'!$C14, Settings!$H:$H, 0)), "")</f>
        <v>650</v>
      </c>
      <c r="BM14" s="19">
        <f t="shared" si="3"/>
        <v>6012.5</v>
      </c>
      <c r="BN14" s="19">
        <f t="shared" si="23"/>
        <v>300.625</v>
      </c>
      <c r="BO14" s="19">
        <f t="shared" si="16"/>
        <v>5711.875</v>
      </c>
      <c r="BP14" s="54"/>
      <c r="BQ14" s="21">
        <v>8</v>
      </c>
      <c r="BR14" s="21">
        <v>2</v>
      </c>
      <c r="BS14" s="27">
        <v>8</v>
      </c>
      <c r="BT14" s="27">
        <v>2</v>
      </c>
      <c r="BU14" s="27">
        <v>8</v>
      </c>
      <c r="BV14" s="27">
        <v>0</v>
      </c>
      <c r="BW14" s="27">
        <v>8</v>
      </c>
      <c r="BX14" s="27">
        <v>2</v>
      </c>
      <c r="BY14" s="27">
        <v>8</v>
      </c>
      <c r="BZ14" s="27">
        <v>2</v>
      </c>
      <c r="CA14" s="27">
        <v>8</v>
      </c>
      <c r="CB14" s="27">
        <v>2</v>
      </c>
      <c r="CC14" s="27">
        <v>8</v>
      </c>
      <c r="CD14" s="27"/>
      <c r="CE14" s="8">
        <f t="shared" si="17"/>
        <v>56</v>
      </c>
      <c r="CF14" s="8">
        <f t="shared" si="18"/>
        <v>10</v>
      </c>
      <c r="CG14" s="19">
        <f>IFERROR(INDEX(Settings!$F:$F, MATCH('PROJECT NAME NOV'!$B14 &amp; "-" &amp; 'PROJECT NAME NOV'!$C14, Settings!$H:$H,0)), "")</f>
        <v>81.25</v>
      </c>
      <c r="CH14" s="19">
        <f>IFERROR(INDEX(Settings!$G:$G, MATCH('PROJECT NAME NOV'!$B14 &amp; "-" &amp; 'PROJECT NAME NOV'!$C14, Settings!$H:$H, 0)), "")</f>
        <v>650</v>
      </c>
      <c r="CI14" s="19">
        <f t="shared" si="4"/>
        <v>5362.5</v>
      </c>
      <c r="CJ14" s="19">
        <f t="shared" si="24"/>
        <v>268.125</v>
      </c>
      <c r="CK14" s="19">
        <f t="shared" si="19"/>
        <v>5094.375</v>
      </c>
      <c r="CM14" s="27">
        <v>8</v>
      </c>
      <c r="CN14" s="27">
        <v>4</v>
      </c>
      <c r="CO14" s="27">
        <v>8</v>
      </c>
      <c r="CP14" s="27">
        <v>4</v>
      </c>
      <c r="CQ14" s="27"/>
      <c r="CR14" s="27"/>
      <c r="CS14" s="8">
        <f t="shared" si="5"/>
        <v>16</v>
      </c>
      <c r="CT14" s="8">
        <f t="shared" si="6"/>
        <v>8</v>
      </c>
      <c r="CU14" s="19">
        <f>IFERROR(INDEX(Settings!$F:$F, MATCH('PROJECT NAME NOV'!$B14 &amp; "-" &amp; 'PROJECT NAME NOV'!$C14, Settings!$H:$H,0)), "")</f>
        <v>81.25</v>
      </c>
      <c r="CV14" s="19">
        <f>IFERROR(INDEX(Settings!$G:$G, MATCH('PROJECT NAME NOV'!$B14 &amp; "-" &amp; 'PROJECT NAME NOV'!$C14, Settings!$H:$H, 0)), "")</f>
        <v>650</v>
      </c>
      <c r="CW14" s="19">
        <f t="shared" si="20"/>
        <v>1950</v>
      </c>
      <c r="CX14" s="19">
        <f t="shared" si="21"/>
        <v>97.5</v>
      </c>
      <c r="CY14" s="19">
        <f t="shared" si="7"/>
        <v>1852.5</v>
      </c>
      <c r="DH14" s="87" t="str">
        <f>'Billable Till Date'!B10 &amp; "-" &amp; 'Billable Till Date'!C10</f>
        <v>Task/Activity-Unit Type</v>
      </c>
    </row>
    <row r="15" spans="2:120" x14ac:dyDescent="0.3">
      <c r="B15" s="3" t="s">
        <v>38</v>
      </c>
      <c r="C15" s="1" t="s">
        <v>30</v>
      </c>
      <c r="D15" s="1" t="s">
        <v>33</v>
      </c>
      <c r="E15" s="4" t="s">
        <v>45</v>
      </c>
      <c r="F15" s="8">
        <v>8</v>
      </c>
      <c r="G15" s="8">
        <v>0</v>
      </c>
      <c r="H15" s="8">
        <v>8</v>
      </c>
      <c r="I15" s="8">
        <v>2</v>
      </c>
      <c r="J15" s="8">
        <v>8</v>
      </c>
      <c r="K15" s="21">
        <v>2</v>
      </c>
      <c r="L15" s="21">
        <v>8</v>
      </c>
      <c r="M15" s="21">
        <v>2</v>
      </c>
      <c r="N15" s="21">
        <v>8</v>
      </c>
      <c r="O15" s="21">
        <v>2</v>
      </c>
      <c r="P15" s="4"/>
      <c r="Q15" s="4"/>
      <c r="R15" s="8">
        <f t="shared" si="0"/>
        <v>40</v>
      </c>
      <c r="S15" s="8">
        <f t="shared" si="1"/>
        <v>8</v>
      </c>
      <c r="T15" s="19">
        <f>IFERROR(INDEX(Settings!$F:$F, MATCH('PROJECT NAME NOV'!$B15 &amp; "-" &amp; 'PROJECT NAME NOV'!$C15, Settings!$H:$H,0)), "")</f>
        <v>81.25</v>
      </c>
      <c r="U15" s="19">
        <f>IFERROR(INDEX(Settings!$G:$G, MATCH('PROJECT NAME NOV'!$B15 &amp; "-" &amp; 'PROJECT NAME NOV'!$C15, Settings!$H:$H, 0)), "")</f>
        <v>650</v>
      </c>
      <c r="V15" s="19">
        <f t="shared" si="2"/>
        <v>3900</v>
      </c>
      <c r="W15" s="19">
        <f t="shared" si="22"/>
        <v>195</v>
      </c>
      <c r="X15" s="19">
        <f t="shared" si="8"/>
        <v>3705</v>
      </c>
      <c r="Y15" s="8">
        <v>8</v>
      </c>
      <c r="Z15" s="8">
        <v>0</v>
      </c>
      <c r="AA15" s="8">
        <v>8</v>
      </c>
      <c r="AB15" s="8">
        <v>2</v>
      </c>
      <c r="AC15" s="8">
        <v>8</v>
      </c>
      <c r="AD15" s="8">
        <v>0</v>
      </c>
      <c r="AE15" s="8">
        <v>8</v>
      </c>
      <c r="AF15" s="8">
        <v>2</v>
      </c>
      <c r="AG15" s="8">
        <v>8</v>
      </c>
      <c r="AH15" s="21">
        <v>2</v>
      </c>
      <c r="AI15" s="21">
        <v>8</v>
      </c>
      <c r="AJ15" s="21">
        <v>2</v>
      </c>
      <c r="AK15" s="21">
        <v>8</v>
      </c>
      <c r="AL15" s="21">
        <v>2</v>
      </c>
      <c r="AM15" s="43">
        <f>IFERROR(INDEX(Settings!$F:$F, MATCH('PROJECT NAME NOV'!$B15 &amp; "-" &amp; 'PROJECT NAME NOV'!$C15, Settings!$H:$H,0)), "")</f>
        <v>81.25</v>
      </c>
      <c r="AN15" s="43">
        <f>IFERROR(INDEX(Settings!$G:$G, MATCH('PROJECT NAME NOV'!$B15 &amp; "-" &amp; 'PROJECT NAME NOV'!$C15, Settings!$H:$H, 0)), "")</f>
        <v>650</v>
      </c>
      <c r="AO15" s="8">
        <f t="shared" si="9"/>
        <v>56</v>
      </c>
      <c r="AP15" s="8">
        <f t="shared" si="10"/>
        <v>10</v>
      </c>
      <c r="AQ15" s="43">
        <f t="shared" si="11"/>
        <v>5362.5</v>
      </c>
      <c r="AR15" s="43">
        <f t="shared" si="12"/>
        <v>268.125</v>
      </c>
      <c r="AS15" s="44">
        <f t="shared" si="13"/>
        <v>5094.375</v>
      </c>
      <c r="AT15" s="54"/>
      <c r="AU15" s="8">
        <v>8</v>
      </c>
      <c r="AV15" s="8">
        <v>2</v>
      </c>
      <c r="AW15" s="8">
        <v>8</v>
      </c>
      <c r="AX15" s="8">
        <v>4</v>
      </c>
      <c r="AY15" s="8">
        <v>8</v>
      </c>
      <c r="AZ15" s="8">
        <v>0</v>
      </c>
      <c r="BA15" s="8">
        <v>8</v>
      </c>
      <c r="BB15" s="8">
        <v>4</v>
      </c>
      <c r="BC15" s="8">
        <v>8</v>
      </c>
      <c r="BD15" s="8">
        <v>4</v>
      </c>
      <c r="BE15" s="8">
        <v>8</v>
      </c>
      <c r="BF15" s="28">
        <v>0</v>
      </c>
      <c r="BG15" s="28">
        <v>0</v>
      </c>
      <c r="BH15" s="8">
        <v>4</v>
      </c>
      <c r="BI15" s="8">
        <f t="shared" si="14"/>
        <v>48</v>
      </c>
      <c r="BJ15" s="8">
        <f t="shared" si="15"/>
        <v>18</v>
      </c>
      <c r="BK15" s="19">
        <f>IFERROR(INDEX(Settings!$F:$F, MATCH('PROJECT NAME NOV'!$B15 &amp; "-" &amp; 'PROJECT NAME NOV'!$C15, Settings!$H:$H,0)), "")</f>
        <v>81.25</v>
      </c>
      <c r="BL15" s="19">
        <f>IFERROR(INDEX(Settings!$G:$G, MATCH('PROJECT NAME NOV'!$B15 &amp; "-" &amp; 'PROJECT NAME NOV'!$C15, Settings!$H:$H, 0)), "")</f>
        <v>650</v>
      </c>
      <c r="BM15" s="19">
        <f t="shared" si="3"/>
        <v>5362.5</v>
      </c>
      <c r="BN15" s="19">
        <f t="shared" si="23"/>
        <v>268.125</v>
      </c>
      <c r="BO15" s="19">
        <f t="shared" si="16"/>
        <v>5094.375</v>
      </c>
      <c r="BP15" s="54"/>
      <c r="BQ15" s="21">
        <v>8</v>
      </c>
      <c r="BR15" s="21">
        <v>2</v>
      </c>
      <c r="BS15" s="27">
        <v>8</v>
      </c>
      <c r="BT15" s="27">
        <v>2</v>
      </c>
      <c r="BU15" s="27">
        <v>8</v>
      </c>
      <c r="BV15" s="27">
        <v>0</v>
      </c>
      <c r="BW15" s="27">
        <v>8</v>
      </c>
      <c r="BX15" s="27">
        <v>2</v>
      </c>
      <c r="BY15" s="27">
        <v>8</v>
      </c>
      <c r="BZ15" s="27">
        <v>2</v>
      </c>
      <c r="CA15" s="27">
        <v>8</v>
      </c>
      <c r="CB15" s="27">
        <v>2</v>
      </c>
      <c r="CC15" s="27">
        <v>8</v>
      </c>
      <c r="CD15" s="27"/>
      <c r="CE15" s="8">
        <f t="shared" si="17"/>
        <v>56</v>
      </c>
      <c r="CF15" s="8">
        <f t="shared" si="18"/>
        <v>10</v>
      </c>
      <c r="CG15" s="19">
        <f>IFERROR(INDEX(Settings!$F:$F, MATCH('PROJECT NAME NOV'!$B15 &amp; "-" &amp; 'PROJECT NAME NOV'!$C15, Settings!$H:$H,0)), "")</f>
        <v>81.25</v>
      </c>
      <c r="CH15" s="19">
        <f>IFERROR(INDEX(Settings!$G:$G, MATCH('PROJECT NAME NOV'!$B15 &amp; "-" &amp; 'PROJECT NAME NOV'!$C15, Settings!$H:$H, 0)), "")</f>
        <v>650</v>
      </c>
      <c r="CI15" s="19">
        <f t="shared" si="4"/>
        <v>5362.5</v>
      </c>
      <c r="CJ15" s="19">
        <f t="shared" si="24"/>
        <v>268.125</v>
      </c>
      <c r="CK15" s="19">
        <f t="shared" si="19"/>
        <v>5094.375</v>
      </c>
      <c r="CM15" s="27"/>
      <c r="CN15" s="27"/>
      <c r="CO15" s="27"/>
      <c r="CP15" s="27"/>
      <c r="CQ15" s="27"/>
      <c r="CR15" s="27"/>
      <c r="CS15" s="8">
        <f t="shared" si="5"/>
        <v>0</v>
      </c>
      <c r="CT15" s="8">
        <f t="shared" si="6"/>
        <v>0</v>
      </c>
      <c r="CU15" s="19">
        <f>IFERROR(INDEX(Settings!$F:$F, MATCH('PROJECT NAME NOV'!$B15 &amp; "-" &amp; 'PROJECT NAME NOV'!$C15, Settings!$H:$H,0)), "")</f>
        <v>81.25</v>
      </c>
      <c r="CV15" s="19">
        <f>IFERROR(INDEX(Settings!$G:$G, MATCH('PROJECT NAME NOV'!$B15 &amp; "-" &amp; 'PROJECT NAME NOV'!$C15, Settings!$H:$H, 0)), "")</f>
        <v>650</v>
      </c>
      <c r="CW15" s="19">
        <f t="shared" si="20"/>
        <v>0</v>
      </c>
      <c r="CX15" s="19">
        <f t="shared" si="21"/>
        <v>0</v>
      </c>
      <c r="CY15" s="19">
        <f t="shared" si="7"/>
        <v>0</v>
      </c>
      <c r="DH15" s="86" t="str">
        <f>'Billable Till Date'!B11 &amp; "-" &amp; 'Billable Till Date'!C11</f>
        <v>Task/Activity-Unit Type</v>
      </c>
    </row>
    <row r="16" spans="2:120" x14ac:dyDescent="0.3">
      <c r="B16" s="3" t="s">
        <v>38</v>
      </c>
      <c r="C16" s="1" t="s">
        <v>30</v>
      </c>
      <c r="D16" s="1" t="s">
        <v>215</v>
      </c>
      <c r="E16" s="4" t="s">
        <v>46</v>
      </c>
      <c r="F16" s="8">
        <v>8</v>
      </c>
      <c r="G16" s="8">
        <v>0</v>
      </c>
      <c r="H16" s="8">
        <v>8</v>
      </c>
      <c r="I16" s="8">
        <v>2</v>
      </c>
      <c r="J16" s="8">
        <v>8</v>
      </c>
      <c r="K16" s="21">
        <v>2</v>
      </c>
      <c r="L16" s="21">
        <v>8</v>
      </c>
      <c r="M16" s="21">
        <v>2</v>
      </c>
      <c r="N16" s="21">
        <v>8</v>
      </c>
      <c r="O16" s="21">
        <v>2</v>
      </c>
      <c r="P16" s="4"/>
      <c r="Q16" s="4"/>
      <c r="R16" s="8">
        <f t="shared" si="0"/>
        <v>40</v>
      </c>
      <c r="S16" s="8">
        <f t="shared" si="1"/>
        <v>8</v>
      </c>
      <c r="T16" s="19">
        <f>IFERROR(INDEX(Settings!$F:$F, MATCH('PROJECT NAME NOV'!$B16 &amp; "-" &amp; 'PROJECT NAME NOV'!$C16, Settings!$H:$H,0)), "")</f>
        <v>81.25</v>
      </c>
      <c r="U16" s="19">
        <f>IFERROR(INDEX(Settings!$G:$G, MATCH('PROJECT NAME NOV'!$B16 &amp; "-" &amp; 'PROJECT NAME NOV'!$C16, Settings!$H:$H, 0)), "")</f>
        <v>650</v>
      </c>
      <c r="V16" s="19">
        <f t="shared" si="2"/>
        <v>3900</v>
      </c>
      <c r="W16" s="19">
        <f t="shared" si="22"/>
        <v>195</v>
      </c>
      <c r="X16" s="19">
        <f t="shared" si="8"/>
        <v>3705</v>
      </c>
      <c r="Y16" s="8">
        <v>8</v>
      </c>
      <c r="Z16" s="8">
        <v>0</v>
      </c>
      <c r="AA16" s="8">
        <v>8</v>
      </c>
      <c r="AB16" s="8">
        <v>2</v>
      </c>
      <c r="AC16" s="8">
        <v>8</v>
      </c>
      <c r="AD16" s="8">
        <v>0</v>
      </c>
      <c r="AE16" s="8">
        <v>8</v>
      </c>
      <c r="AF16" s="8">
        <v>2</v>
      </c>
      <c r="AG16" s="8">
        <v>8</v>
      </c>
      <c r="AH16" s="21">
        <v>2</v>
      </c>
      <c r="AI16" s="21">
        <v>8</v>
      </c>
      <c r="AJ16" s="21">
        <v>2</v>
      </c>
      <c r="AK16" s="21">
        <v>8</v>
      </c>
      <c r="AL16" s="21">
        <v>2</v>
      </c>
      <c r="AM16" s="43">
        <f>IFERROR(INDEX(Settings!$F:$F, MATCH('PROJECT NAME NOV'!$B16 &amp; "-" &amp; 'PROJECT NAME NOV'!$C16, Settings!$H:$H,0)), "")</f>
        <v>81.25</v>
      </c>
      <c r="AN16" s="43">
        <f>IFERROR(INDEX(Settings!$G:$G, MATCH('PROJECT NAME NOV'!$B16 &amp; "-" &amp; 'PROJECT NAME NOV'!$C16, Settings!$H:$H, 0)), "")</f>
        <v>650</v>
      </c>
      <c r="AO16" s="8">
        <f t="shared" si="9"/>
        <v>56</v>
      </c>
      <c r="AP16" s="8">
        <f t="shared" si="10"/>
        <v>10</v>
      </c>
      <c r="AQ16" s="43">
        <f t="shared" si="11"/>
        <v>5362.5</v>
      </c>
      <c r="AR16" s="43">
        <f t="shared" si="12"/>
        <v>268.125</v>
      </c>
      <c r="AS16" s="44">
        <f t="shared" si="13"/>
        <v>5094.375</v>
      </c>
      <c r="AT16" s="54"/>
      <c r="AU16" s="8">
        <v>8</v>
      </c>
      <c r="AV16" s="8">
        <v>2</v>
      </c>
      <c r="AW16" s="8">
        <v>8</v>
      </c>
      <c r="AX16" s="8">
        <v>4</v>
      </c>
      <c r="AY16" s="8">
        <v>8</v>
      </c>
      <c r="AZ16" s="8">
        <v>0</v>
      </c>
      <c r="BA16" s="8">
        <v>8</v>
      </c>
      <c r="BB16" s="8">
        <v>4</v>
      </c>
      <c r="BC16" s="8">
        <v>8</v>
      </c>
      <c r="BD16" s="8">
        <v>4</v>
      </c>
      <c r="BE16" s="8">
        <v>8</v>
      </c>
      <c r="BF16" s="28">
        <v>0</v>
      </c>
      <c r="BG16" s="28">
        <v>0</v>
      </c>
      <c r="BH16" s="8">
        <v>4</v>
      </c>
      <c r="BI16" s="8">
        <f t="shared" si="14"/>
        <v>48</v>
      </c>
      <c r="BJ16" s="8">
        <f t="shared" si="15"/>
        <v>18</v>
      </c>
      <c r="BK16" s="19">
        <f>IFERROR(INDEX(Settings!$F:$F, MATCH('PROJECT NAME NOV'!$B16 &amp; "-" &amp; 'PROJECT NAME NOV'!$C16, Settings!$H:$H,0)), "")</f>
        <v>81.25</v>
      </c>
      <c r="BL16" s="19">
        <f>IFERROR(INDEX(Settings!$G:$G, MATCH('PROJECT NAME NOV'!$B16 &amp; "-" &amp; 'PROJECT NAME NOV'!$C16, Settings!$H:$H, 0)), "")</f>
        <v>650</v>
      </c>
      <c r="BM16" s="19">
        <f t="shared" si="3"/>
        <v>5362.5</v>
      </c>
      <c r="BN16" s="19">
        <f t="shared" si="23"/>
        <v>268.125</v>
      </c>
      <c r="BO16" s="19">
        <f t="shared" si="16"/>
        <v>5094.375</v>
      </c>
      <c r="BP16" s="54"/>
      <c r="BQ16" s="21">
        <v>8</v>
      </c>
      <c r="BR16" s="21">
        <v>2</v>
      </c>
      <c r="BS16" s="27">
        <v>8</v>
      </c>
      <c r="BT16" s="27">
        <v>2</v>
      </c>
      <c r="BU16" s="27">
        <v>8</v>
      </c>
      <c r="BV16" s="27">
        <v>0</v>
      </c>
      <c r="BW16" s="27">
        <v>8</v>
      </c>
      <c r="BX16" s="27">
        <v>2</v>
      </c>
      <c r="BY16" s="27">
        <v>8</v>
      </c>
      <c r="BZ16" s="27">
        <v>2</v>
      </c>
      <c r="CA16" s="27">
        <v>8</v>
      </c>
      <c r="CB16" s="27">
        <v>2</v>
      </c>
      <c r="CC16" s="27">
        <v>8</v>
      </c>
      <c r="CD16" s="27"/>
      <c r="CE16" s="8">
        <f t="shared" si="17"/>
        <v>56</v>
      </c>
      <c r="CF16" s="8">
        <f t="shared" si="18"/>
        <v>10</v>
      </c>
      <c r="CG16" s="19">
        <f>IFERROR(INDEX(Settings!$F:$F, MATCH('PROJECT NAME NOV'!$B16 &amp; "-" &amp; 'PROJECT NAME NOV'!$C16, Settings!$H:$H,0)), "")</f>
        <v>81.25</v>
      </c>
      <c r="CH16" s="19">
        <f>IFERROR(INDEX(Settings!$G:$G, MATCH('PROJECT NAME NOV'!$B16 &amp; "-" &amp; 'PROJECT NAME NOV'!$C16, Settings!$H:$H, 0)), "")</f>
        <v>650</v>
      </c>
      <c r="CI16" s="19">
        <f t="shared" si="4"/>
        <v>5362.5</v>
      </c>
      <c r="CJ16" s="19">
        <f t="shared" si="24"/>
        <v>268.125</v>
      </c>
      <c r="CK16" s="19">
        <f t="shared" si="19"/>
        <v>5094.375</v>
      </c>
      <c r="CM16" s="27"/>
      <c r="CN16" s="27"/>
      <c r="CO16" s="27"/>
      <c r="CP16" s="27"/>
      <c r="CQ16" s="27"/>
      <c r="CR16" s="27"/>
      <c r="CS16" s="8">
        <f t="shared" si="5"/>
        <v>0</v>
      </c>
      <c r="CT16" s="8">
        <f t="shared" si="6"/>
        <v>0</v>
      </c>
      <c r="CU16" s="19">
        <f>IFERROR(INDEX(Settings!$F:$F, MATCH('PROJECT NAME NOV'!$B16 &amp; "-" &amp; 'PROJECT NAME NOV'!$C16, Settings!$H:$H,0)), "")</f>
        <v>81.25</v>
      </c>
      <c r="CV16" s="19">
        <f>IFERROR(INDEX(Settings!$G:$G, MATCH('PROJECT NAME NOV'!$B16 &amp; "-" &amp; 'PROJECT NAME NOV'!$C16, Settings!$H:$H, 0)), "")</f>
        <v>650</v>
      </c>
      <c r="CW16" s="19">
        <f t="shared" si="20"/>
        <v>0</v>
      </c>
      <c r="CX16" s="19">
        <f t="shared" si="21"/>
        <v>0</v>
      </c>
      <c r="CY16" s="19">
        <f t="shared" si="7"/>
        <v>0</v>
      </c>
      <c r="DH16" s="87" t="str">
        <f>'Billable Till Date'!B12 &amp; "-" &amp; 'Billable Till Date'!C12</f>
        <v>Task/Activity-Unit Type</v>
      </c>
    </row>
    <row r="17" spans="2:120" x14ac:dyDescent="0.3">
      <c r="B17" s="3" t="s">
        <v>38</v>
      </c>
      <c r="C17" s="1" t="s">
        <v>19</v>
      </c>
      <c r="D17" s="1" t="s">
        <v>216</v>
      </c>
      <c r="E17" s="4" t="s">
        <v>47</v>
      </c>
      <c r="F17" s="46">
        <v>8</v>
      </c>
      <c r="G17" s="46">
        <v>0</v>
      </c>
      <c r="H17" s="46">
        <v>8</v>
      </c>
      <c r="I17" s="46">
        <v>2</v>
      </c>
      <c r="J17" s="46">
        <v>8</v>
      </c>
      <c r="K17" s="47">
        <v>2</v>
      </c>
      <c r="L17" s="47">
        <v>8</v>
      </c>
      <c r="M17" s="47">
        <v>2</v>
      </c>
      <c r="N17" s="47">
        <v>8</v>
      </c>
      <c r="O17" s="47">
        <v>2</v>
      </c>
      <c r="P17" s="45"/>
      <c r="Q17" s="45"/>
      <c r="R17" s="8">
        <f t="shared" si="0"/>
        <v>40</v>
      </c>
      <c r="S17" s="8">
        <f t="shared" si="1"/>
        <v>8</v>
      </c>
      <c r="T17" s="19">
        <f>IFERROR(INDEX(Settings!$F:$F, MATCH('PROJECT NAME NOV'!$B17 &amp; "-" &amp; 'PROJECT NAME NOV'!$C17, Settings!$H:$H,0)), "")</f>
        <v>106.25</v>
      </c>
      <c r="U17" s="19">
        <f>IFERROR(INDEX(Settings!$G:$G, MATCH('PROJECT NAME NOV'!$B17 &amp; "-" &amp; 'PROJECT NAME NOV'!$C17, Settings!$H:$H, 0)), "")</f>
        <v>850</v>
      </c>
      <c r="V17" s="19">
        <f t="shared" si="2"/>
        <v>5100</v>
      </c>
      <c r="W17" s="19">
        <f t="shared" si="22"/>
        <v>255</v>
      </c>
      <c r="X17" s="19">
        <f t="shared" si="8"/>
        <v>4845</v>
      </c>
      <c r="Y17" s="46">
        <v>8</v>
      </c>
      <c r="Z17" s="46">
        <v>0</v>
      </c>
      <c r="AA17" s="46">
        <v>8</v>
      </c>
      <c r="AB17" s="46">
        <v>2</v>
      </c>
      <c r="AC17" s="46">
        <v>8</v>
      </c>
      <c r="AD17" s="46">
        <v>0</v>
      </c>
      <c r="AE17" s="46">
        <v>8</v>
      </c>
      <c r="AF17" s="46">
        <v>2</v>
      </c>
      <c r="AG17" s="46">
        <v>8</v>
      </c>
      <c r="AH17" s="47">
        <v>2</v>
      </c>
      <c r="AI17" s="47">
        <v>8</v>
      </c>
      <c r="AJ17" s="47">
        <v>2</v>
      </c>
      <c r="AK17" s="47">
        <v>8</v>
      </c>
      <c r="AL17" s="47">
        <v>2</v>
      </c>
      <c r="AM17" s="48">
        <f>IFERROR(INDEX(Settings!$F:$F, MATCH('PROJECT NAME NOV'!$B17 &amp; "-" &amp; 'PROJECT NAME NOV'!$C17, Settings!$H:$H,0)), "")</f>
        <v>106.25</v>
      </c>
      <c r="AN17" s="48">
        <f>IFERROR(INDEX(Settings!$G:$G, MATCH('PROJECT NAME NOV'!$B17 &amp; "-" &amp; 'PROJECT NAME NOV'!$C17, Settings!$H:$H, 0)), "")</f>
        <v>850</v>
      </c>
      <c r="AO17" s="46">
        <f t="shared" si="9"/>
        <v>56</v>
      </c>
      <c r="AP17" s="46">
        <f t="shared" si="10"/>
        <v>10</v>
      </c>
      <c r="AQ17" s="48">
        <f t="shared" si="11"/>
        <v>7012.5</v>
      </c>
      <c r="AR17" s="48">
        <f t="shared" si="12"/>
        <v>350.625</v>
      </c>
      <c r="AS17" s="66">
        <f t="shared" si="13"/>
        <v>6661.875</v>
      </c>
      <c r="AT17" s="55"/>
      <c r="AU17" s="46">
        <v>8</v>
      </c>
      <c r="AV17" s="46">
        <v>0</v>
      </c>
      <c r="AW17" s="46">
        <v>8</v>
      </c>
      <c r="AX17" s="46">
        <v>4</v>
      </c>
      <c r="AY17" s="46">
        <v>8</v>
      </c>
      <c r="AZ17" s="46">
        <v>0</v>
      </c>
      <c r="BA17" s="46">
        <v>8</v>
      </c>
      <c r="BB17" s="46">
        <v>4</v>
      </c>
      <c r="BC17" s="46">
        <v>8</v>
      </c>
      <c r="BD17" s="46">
        <v>4</v>
      </c>
      <c r="BE17" s="46">
        <v>8</v>
      </c>
      <c r="BF17" s="28">
        <v>0</v>
      </c>
      <c r="BG17" s="28">
        <v>8</v>
      </c>
      <c r="BH17" s="8">
        <v>4</v>
      </c>
      <c r="BI17" s="8">
        <f t="shared" si="14"/>
        <v>56</v>
      </c>
      <c r="BJ17" s="8">
        <f t="shared" si="15"/>
        <v>16</v>
      </c>
      <c r="BK17" s="19">
        <f>IFERROR(INDEX(Settings!$F:$F, MATCH('PROJECT NAME NOV'!$B17 &amp; "-" &amp; 'PROJECT NAME NOV'!$C17, Settings!$H:$H,0)), "")</f>
        <v>106.25</v>
      </c>
      <c r="BL17" s="19">
        <f>IFERROR(INDEX(Settings!$G:$G, MATCH('PROJECT NAME NOV'!$B17 &amp; "-" &amp; 'PROJECT NAME NOV'!$C17, Settings!$H:$H, 0)), "")</f>
        <v>850</v>
      </c>
      <c r="BM17" s="19">
        <f t="shared" si="3"/>
        <v>7650</v>
      </c>
      <c r="BN17" s="19">
        <f t="shared" si="23"/>
        <v>382.5</v>
      </c>
      <c r="BO17" s="19">
        <f t="shared" si="16"/>
        <v>7267.5</v>
      </c>
      <c r="BP17" s="55"/>
      <c r="BQ17" s="21">
        <v>8</v>
      </c>
      <c r="BR17" s="21">
        <v>2</v>
      </c>
      <c r="BS17" s="27">
        <v>8</v>
      </c>
      <c r="BT17" s="27">
        <v>2</v>
      </c>
      <c r="BU17" s="27">
        <v>8</v>
      </c>
      <c r="BV17" s="27">
        <v>0</v>
      </c>
      <c r="BW17" s="27">
        <v>8</v>
      </c>
      <c r="BX17" s="27">
        <v>2</v>
      </c>
      <c r="BY17" s="27">
        <v>8</v>
      </c>
      <c r="BZ17" s="27">
        <v>2</v>
      </c>
      <c r="CA17" s="27">
        <v>8</v>
      </c>
      <c r="CB17" s="27">
        <v>2</v>
      </c>
      <c r="CC17" s="27">
        <v>8</v>
      </c>
      <c r="CD17" s="27"/>
      <c r="CE17" s="8">
        <f t="shared" si="17"/>
        <v>56</v>
      </c>
      <c r="CF17" s="8">
        <f t="shared" si="18"/>
        <v>10</v>
      </c>
      <c r="CG17" s="19">
        <f>IFERROR(INDEX(Settings!$F:$F, MATCH('PROJECT NAME NOV'!$B17 &amp; "-" &amp; 'PROJECT NAME NOV'!$C17, Settings!$H:$H,0)), "")</f>
        <v>106.25</v>
      </c>
      <c r="CH17" s="19">
        <f>IFERROR(INDEX(Settings!$G:$G, MATCH('PROJECT NAME NOV'!$B17 &amp; "-" &amp; 'PROJECT NAME NOV'!$C17, Settings!$H:$H, 0)), "")</f>
        <v>850</v>
      </c>
      <c r="CI17" s="19">
        <f t="shared" si="4"/>
        <v>7012.5</v>
      </c>
      <c r="CJ17" s="19">
        <f t="shared" si="24"/>
        <v>350.625</v>
      </c>
      <c r="CK17" s="19">
        <f t="shared" si="19"/>
        <v>6661.875</v>
      </c>
      <c r="CM17" s="27">
        <v>8</v>
      </c>
      <c r="CN17" s="27">
        <v>4</v>
      </c>
      <c r="CO17" s="27">
        <v>8</v>
      </c>
      <c r="CP17" s="27">
        <v>4</v>
      </c>
      <c r="CQ17" s="27"/>
      <c r="CR17" s="27"/>
      <c r="CS17" s="8">
        <f t="shared" si="5"/>
        <v>16</v>
      </c>
      <c r="CT17" s="8">
        <f t="shared" si="6"/>
        <v>8</v>
      </c>
      <c r="CU17" s="19">
        <f>IFERROR(INDEX(Settings!$F:$F, MATCH('PROJECT NAME NOV'!$B17 &amp; "-" &amp; 'PROJECT NAME NOV'!$C17, Settings!$H:$H,0)), "")</f>
        <v>106.25</v>
      </c>
      <c r="CV17" s="19">
        <f>IFERROR(INDEX(Settings!$G:$G, MATCH('PROJECT NAME NOV'!$B17 &amp; "-" &amp; 'PROJECT NAME NOV'!$C17, Settings!$H:$H, 0)), "")</f>
        <v>850</v>
      </c>
      <c r="CW17" s="19">
        <f t="shared" si="20"/>
        <v>2550</v>
      </c>
      <c r="CX17" s="19">
        <f t="shared" si="21"/>
        <v>127.5</v>
      </c>
      <c r="CY17" s="19">
        <f t="shared" si="7"/>
        <v>2422.5</v>
      </c>
      <c r="DH17" s="86" t="str">
        <f>'Billable Till Date'!B13 &amp; "-" &amp; 'Billable Till Date'!C13</f>
        <v>Task/Activity-Unit Type</v>
      </c>
    </row>
    <row r="18" spans="2:120" x14ac:dyDescent="0.3">
      <c r="B18" s="3" t="s">
        <v>38</v>
      </c>
      <c r="C18" s="1" t="s">
        <v>19</v>
      </c>
      <c r="D18" s="1" t="s">
        <v>217</v>
      </c>
      <c r="E18" s="4" t="s">
        <v>48</v>
      </c>
      <c r="F18" s="21">
        <v>8</v>
      </c>
      <c r="G18" s="21">
        <v>0</v>
      </c>
      <c r="H18" s="21">
        <v>8</v>
      </c>
      <c r="I18" s="21">
        <v>2</v>
      </c>
      <c r="J18" s="21">
        <v>8</v>
      </c>
      <c r="K18" s="21">
        <v>2</v>
      </c>
      <c r="L18" s="21">
        <v>8</v>
      </c>
      <c r="M18" s="21">
        <v>2</v>
      </c>
      <c r="N18" s="21">
        <v>8</v>
      </c>
      <c r="O18" s="21">
        <v>2</v>
      </c>
      <c r="P18" s="21"/>
      <c r="Q18" s="21"/>
      <c r="R18" s="8">
        <f t="shared" si="0"/>
        <v>40</v>
      </c>
      <c r="S18" s="8">
        <f t="shared" si="1"/>
        <v>8</v>
      </c>
      <c r="T18" s="19">
        <f>IFERROR(INDEX(Settings!$F:$F, MATCH('PROJECT NAME NOV'!$B18 &amp; "-" &amp; 'PROJECT NAME NOV'!$C18, Settings!$H:$H,0)), "")</f>
        <v>106.25</v>
      </c>
      <c r="U18" s="19">
        <f>IFERROR(INDEX(Settings!$G:$G, MATCH('PROJECT NAME NOV'!$B18 &amp; "-" &amp; 'PROJECT NAME NOV'!$C18, Settings!$H:$H, 0)), "")</f>
        <v>850</v>
      </c>
      <c r="V18" s="19">
        <f t="shared" si="2"/>
        <v>5100</v>
      </c>
      <c r="W18" s="19">
        <f t="shared" si="22"/>
        <v>255</v>
      </c>
      <c r="X18" s="19">
        <f t="shared" si="8"/>
        <v>4845</v>
      </c>
      <c r="Y18" s="21">
        <v>8</v>
      </c>
      <c r="Z18" s="21">
        <v>0</v>
      </c>
      <c r="AA18" s="21">
        <v>8</v>
      </c>
      <c r="AB18" s="21">
        <v>2</v>
      </c>
      <c r="AC18" s="21">
        <v>8</v>
      </c>
      <c r="AD18" s="21">
        <v>0</v>
      </c>
      <c r="AE18" s="21">
        <v>8</v>
      </c>
      <c r="AF18" s="21">
        <v>2</v>
      </c>
      <c r="AG18" s="21">
        <v>8</v>
      </c>
      <c r="AH18" s="21">
        <v>2</v>
      </c>
      <c r="AI18" s="21">
        <v>8</v>
      </c>
      <c r="AJ18" s="21">
        <v>2</v>
      </c>
      <c r="AK18" s="21">
        <v>8</v>
      </c>
      <c r="AL18" s="21">
        <v>2</v>
      </c>
      <c r="AM18" s="44">
        <f>IFERROR(INDEX(Settings!$F:$F, MATCH('PROJECT NAME NOV'!$B18 &amp; "-" &amp; 'PROJECT NAME NOV'!$C18, Settings!$H:$H,0)), "")</f>
        <v>106.25</v>
      </c>
      <c r="AN18" s="44">
        <f>IFERROR(INDEX(Settings!$G:$G, MATCH('PROJECT NAME NOV'!$B18 &amp; "-" &amp; 'PROJECT NAME NOV'!$C18, Settings!$H:$H, 0)), "")</f>
        <v>850</v>
      </c>
      <c r="AO18" s="21">
        <f t="shared" si="9"/>
        <v>56</v>
      </c>
      <c r="AP18" s="21">
        <f t="shared" si="10"/>
        <v>10</v>
      </c>
      <c r="AQ18" s="44">
        <f t="shared" si="11"/>
        <v>7012.5</v>
      </c>
      <c r="AR18" s="44">
        <f t="shared" si="12"/>
        <v>350.625</v>
      </c>
      <c r="AS18" s="44">
        <f t="shared" si="13"/>
        <v>6661.875</v>
      </c>
      <c r="AT18" s="59"/>
      <c r="AU18" s="21">
        <v>8</v>
      </c>
      <c r="AV18" s="21">
        <v>0</v>
      </c>
      <c r="AW18" s="21">
        <v>8</v>
      </c>
      <c r="AX18" s="21">
        <v>4</v>
      </c>
      <c r="AY18" s="21">
        <v>8</v>
      </c>
      <c r="AZ18" s="21">
        <v>0</v>
      </c>
      <c r="BA18" s="21">
        <v>8</v>
      </c>
      <c r="BB18" s="21">
        <v>4</v>
      </c>
      <c r="BC18" s="21">
        <v>8</v>
      </c>
      <c r="BD18" s="21">
        <v>4</v>
      </c>
      <c r="BE18" s="21">
        <v>8</v>
      </c>
      <c r="BF18" s="28">
        <v>0</v>
      </c>
      <c r="BG18" s="28">
        <v>8</v>
      </c>
      <c r="BH18" s="8">
        <v>4</v>
      </c>
      <c r="BI18" s="8">
        <f t="shared" si="14"/>
        <v>56</v>
      </c>
      <c r="BJ18" s="8">
        <f t="shared" si="15"/>
        <v>16</v>
      </c>
      <c r="BK18" s="19">
        <f>IFERROR(INDEX(Settings!$F:$F, MATCH('PROJECT NAME NOV'!$B18 &amp; "-" &amp; 'PROJECT NAME NOV'!$C18, Settings!$H:$H,0)), "")</f>
        <v>106.25</v>
      </c>
      <c r="BL18" s="19">
        <f>IFERROR(INDEX(Settings!$G:$G, MATCH('PROJECT NAME NOV'!$B18 &amp; "-" &amp; 'PROJECT NAME NOV'!$C18, Settings!$H:$H, 0)), "")</f>
        <v>850</v>
      </c>
      <c r="BM18" s="19">
        <f t="shared" si="3"/>
        <v>7650</v>
      </c>
      <c r="BN18" s="19">
        <f t="shared" si="23"/>
        <v>382.5</v>
      </c>
      <c r="BO18" s="19">
        <f t="shared" si="16"/>
        <v>7267.5</v>
      </c>
      <c r="BP18" s="54"/>
      <c r="BQ18" s="27">
        <v>0</v>
      </c>
      <c r="BR18" s="27">
        <v>0</v>
      </c>
      <c r="BS18" s="27">
        <v>0</v>
      </c>
      <c r="BT18" s="27">
        <v>0</v>
      </c>
      <c r="BU18" s="27">
        <v>0</v>
      </c>
      <c r="BV18" s="27">
        <v>0</v>
      </c>
      <c r="BW18" s="27">
        <v>0</v>
      </c>
      <c r="BX18" s="27">
        <v>0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/>
      <c r="CE18" s="8">
        <f t="shared" si="17"/>
        <v>0</v>
      </c>
      <c r="CF18" s="8">
        <f t="shared" si="18"/>
        <v>0</v>
      </c>
      <c r="CG18" s="19">
        <f>IFERROR(INDEX(Settings!$F:$F, MATCH('PROJECT NAME NOV'!$B18 &amp; "-" &amp; 'PROJECT NAME NOV'!$C18, Settings!$H:$H,0)), "")</f>
        <v>106.25</v>
      </c>
      <c r="CH18" s="19">
        <f>IFERROR(INDEX(Settings!$G:$G, MATCH('PROJECT NAME NOV'!$B18 &amp; "-" &amp; 'PROJECT NAME NOV'!$C18, Settings!$H:$H, 0)), "")</f>
        <v>850</v>
      </c>
      <c r="CI18" s="19">
        <f t="shared" si="4"/>
        <v>0</v>
      </c>
      <c r="CJ18" s="19">
        <f t="shared" si="24"/>
        <v>0</v>
      </c>
      <c r="CK18" s="19">
        <f t="shared" si="19"/>
        <v>0</v>
      </c>
      <c r="CM18" s="27">
        <v>8</v>
      </c>
      <c r="CN18" s="27">
        <v>4</v>
      </c>
      <c r="CO18" s="27">
        <v>8</v>
      </c>
      <c r="CP18" s="27">
        <v>4</v>
      </c>
      <c r="CQ18" s="27"/>
      <c r="CR18" s="27"/>
      <c r="CS18" s="8">
        <f t="shared" si="5"/>
        <v>16</v>
      </c>
      <c r="CT18" s="8">
        <f t="shared" si="6"/>
        <v>8</v>
      </c>
      <c r="CU18" s="19">
        <f>IFERROR(INDEX(Settings!$F:$F, MATCH('PROJECT NAME NOV'!$B18 &amp; "-" &amp; 'PROJECT NAME NOV'!$C18, Settings!$H:$H,0)), "")</f>
        <v>106.25</v>
      </c>
      <c r="CV18" s="19">
        <f>IFERROR(INDEX(Settings!$G:$G, MATCH('PROJECT NAME NOV'!$B18 &amp; "-" &amp; 'PROJECT NAME NOV'!$C18, Settings!$H:$H, 0)), "")</f>
        <v>850</v>
      </c>
      <c r="CW18" s="19">
        <f t="shared" si="20"/>
        <v>2550</v>
      </c>
      <c r="CX18" s="19">
        <f t="shared" si="21"/>
        <v>127.5</v>
      </c>
      <c r="CY18" s="19">
        <f t="shared" si="7"/>
        <v>2422.5</v>
      </c>
      <c r="DH18" s="87" t="str">
        <f>'Billable Till Date'!B14 &amp; "-" &amp; 'Billable Till Date'!C14</f>
        <v>Task/Activity-Unit Type</v>
      </c>
      <c r="DK18" s="101"/>
      <c r="DL18" s="2"/>
      <c r="DM18" s="10"/>
      <c r="DN18" s="10"/>
      <c r="DO18" s="104"/>
      <c r="DP18" s="104"/>
    </row>
    <row r="19" spans="2:120" x14ac:dyDescent="0.3">
      <c r="B19" s="3" t="s">
        <v>38</v>
      </c>
      <c r="C19" s="1" t="s">
        <v>29</v>
      </c>
      <c r="D19" s="1" t="s">
        <v>218</v>
      </c>
      <c r="E19" s="4" t="s">
        <v>49</v>
      </c>
      <c r="F19" s="21">
        <v>0</v>
      </c>
      <c r="G19" s="21">
        <v>0</v>
      </c>
      <c r="H19" s="21">
        <v>8</v>
      </c>
      <c r="I19" s="21">
        <v>2</v>
      </c>
      <c r="J19" s="21">
        <v>8</v>
      </c>
      <c r="K19" s="21">
        <v>2</v>
      </c>
      <c r="L19" s="21">
        <v>8</v>
      </c>
      <c r="M19" s="21">
        <v>2</v>
      </c>
      <c r="N19" s="21">
        <v>8</v>
      </c>
      <c r="O19" s="21">
        <v>2</v>
      </c>
      <c r="P19" s="21"/>
      <c r="Q19" s="21"/>
      <c r="R19" s="8">
        <f t="shared" si="0"/>
        <v>32</v>
      </c>
      <c r="S19" s="8">
        <f t="shared" si="1"/>
        <v>8</v>
      </c>
      <c r="T19" s="19">
        <f>IFERROR(INDEX(Settings!$F:$F, MATCH('PROJECT NAME NOV'!$B19 &amp; "-" &amp; 'PROJECT NAME NOV'!$C19, Settings!$H:$H,0)), "")</f>
        <v>81.25</v>
      </c>
      <c r="U19" s="19">
        <f>IFERROR(INDEX(Settings!$G:$G, MATCH('PROJECT NAME NOV'!$B19 &amp; "-" &amp; 'PROJECT NAME NOV'!$C19, Settings!$H:$H, 0)), "")</f>
        <v>650</v>
      </c>
      <c r="V19" s="19">
        <f t="shared" si="2"/>
        <v>3250</v>
      </c>
      <c r="W19" s="19">
        <f t="shared" si="22"/>
        <v>162.5</v>
      </c>
      <c r="X19" s="19">
        <f t="shared" si="8"/>
        <v>3087.5</v>
      </c>
      <c r="Y19" s="21">
        <v>8</v>
      </c>
      <c r="Z19" s="21">
        <v>0</v>
      </c>
      <c r="AA19" s="21">
        <v>8</v>
      </c>
      <c r="AB19" s="21">
        <v>2</v>
      </c>
      <c r="AC19" s="21">
        <v>0</v>
      </c>
      <c r="AD19" s="21">
        <v>0</v>
      </c>
      <c r="AE19" s="21">
        <v>8</v>
      </c>
      <c r="AF19" s="21">
        <v>2</v>
      </c>
      <c r="AG19" s="21">
        <v>8</v>
      </c>
      <c r="AH19" s="21">
        <v>2</v>
      </c>
      <c r="AI19" s="21">
        <v>8</v>
      </c>
      <c r="AJ19" s="21">
        <v>2</v>
      </c>
      <c r="AK19" s="21">
        <v>8</v>
      </c>
      <c r="AL19" s="21">
        <v>2</v>
      </c>
      <c r="AM19" s="44">
        <f>IFERROR(INDEX(Settings!$F:$F, MATCH('PROJECT NAME NOV'!$B19 &amp; "-" &amp; 'PROJECT NAME NOV'!$C19, Settings!$H:$H,0)), "")</f>
        <v>81.25</v>
      </c>
      <c r="AN19" s="44">
        <f>IFERROR(INDEX(Settings!$G:$G, MATCH('PROJECT NAME NOV'!$B19 &amp; "-" &amp; 'PROJECT NAME NOV'!$C19, Settings!$H:$H, 0)), "")</f>
        <v>650</v>
      </c>
      <c r="AO19" s="21">
        <f t="shared" si="9"/>
        <v>48</v>
      </c>
      <c r="AP19" s="21">
        <f t="shared" si="10"/>
        <v>10</v>
      </c>
      <c r="AQ19" s="44">
        <f t="shared" si="11"/>
        <v>4712.5</v>
      </c>
      <c r="AR19" s="44">
        <f t="shared" si="12"/>
        <v>235.625</v>
      </c>
      <c r="AS19" s="44">
        <f t="shared" si="13"/>
        <v>4476.875</v>
      </c>
      <c r="AT19" s="59"/>
      <c r="AU19" s="21">
        <v>8</v>
      </c>
      <c r="AV19" s="21">
        <v>0</v>
      </c>
      <c r="AW19" s="21">
        <v>8</v>
      </c>
      <c r="AX19" s="21">
        <v>4</v>
      </c>
      <c r="AY19" s="21">
        <v>8</v>
      </c>
      <c r="AZ19" s="21">
        <v>0</v>
      </c>
      <c r="BA19" s="21">
        <v>8</v>
      </c>
      <c r="BB19" s="21">
        <v>4</v>
      </c>
      <c r="BC19" s="21">
        <v>8</v>
      </c>
      <c r="BD19" s="21">
        <v>4</v>
      </c>
      <c r="BE19" s="21">
        <v>8</v>
      </c>
      <c r="BF19" s="28">
        <v>0</v>
      </c>
      <c r="BG19" s="28">
        <v>8</v>
      </c>
      <c r="BH19" s="8">
        <v>4</v>
      </c>
      <c r="BI19" s="8">
        <f t="shared" si="14"/>
        <v>56</v>
      </c>
      <c r="BJ19" s="8">
        <f t="shared" si="15"/>
        <v>16</v>
      </c>
      <c r="BK19" s="19">
        <f>IFERROR(INDEX(Settings!$F:$F, MATCH('PROJECT NAME NOV'!$B19 &amp; "-" &amp; 'PROJECT NAME NOV'!$C19, Settings!$H:$H,0)), "")</f>
        <v>81.25</v>
      </c>
      <c r="BL19" s="19">
        <f>IFERROR(INDEX(Settings!$G:$G, MATCH('PROJECT NAME NOV'!$B19 &amp; "-" &amp; 'PROJECT NAME NOV'!$C19, Settings!$H:$H, 0)), "")</f>
        <v>650</v>
      </c>
      <c r="BM19" s="19">
        <f t="shared" si="3"/>
        <v>5850</v>
      </c>
      <c r="BN19" s="19">
        <f t="shared" si="23"/>
        <v>292.5</v>
      </c>
      <c r="BO19" s="19">
        <f t="shared" si="16"/>
        <v>5557.5</v>
      </c>
      <c r="BP19" s="54"/>
      <c r="BQ19" s="27">
        <v>0</v>
      </c>
      <c r="BR19" s="27">
        <v>0</v>
      </c>
      <c r="BS19" s="27">
        <v>0</v>
      </c>
      <c r="BT19" s="27">
        <v>0</v>
      </c>
      <c r="BU19" s="27">
        <v>0</v>
      </c>
      <c r="BV19" s="27">
        <v>0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/>
      <c r="CE19" s="8">
        <f t="shared" si="17"/>
        <v>0</v>
      </c>
      <c r="CF19" s="8">
        <f t="shared" si="18"/>
        <v>0</v>
      </c>
      <c r="CG19" s="19">
        <f>IFERROR(INDEX(Settings!$F:$F, MATCH('PROJECT NAME NOV'!$B19 &amp; "-" &amp; 'PROJECT NAME NOV'!$C19, Settings!$H:$H,0)), "")</f>
        <v>81.25</v>
      </c>
      <c r="CH19" s="19">
        <f>IFERROR(INDEX(Settings!$G:$G, MATCH('PROJECT NAME NOV'!$B19 &amp; "-" &amp; 'PROJECT NAME NOV'!$C19, Settings!$H:$H, 0)), "")</f>
        <v>650</v>
      </c>
      <c r="CI19" s="19">
        <f t="shared" si="4"/>
        <v>0</v>
      </c>
      <c r="CJ19" s="19">
        <f t="shared" si="24"/>
        <v>0</v>
      </c>
      <c r="CK19" s="19">
        <f t="shared" si="19"/>
        <v>0</v>
      </c>
      <c r="CM19" s="27"/>
      <c r="CN19" s="27"/>
      <c r="CO19" s="27"/>
      <c r="CP19" s="27"/>
      <c r="CQ19" s="27"/>
      <c r="CR19" s="27"/>
      <c r="CS19" s="8">
        <f t="shared" si="5"/>
        <v>0</v>
      </c>
      <c r="CT19" s="8">
        <f t="shared" si="6"/>
        <v>0</v>
      </c>
      <c r="CU19" s="19">
        <f>IFERROR(INDEX(Settings!$F:$F, MATCH('PROJECT NAME NOV'!$B19 &amp; "-" &amp; 'PROJECT NAME NOV'!$C19, Settings!$H:$H,0)), "")</f>
        <v>81.25</v>
      </c>
      <c r="CV19" s="19">
        <f>IFERROR(INDEX(Settings!$G:$G, MATCH('PROJECT NAME NOV'!$B19 &amp; "-" &amp; 'PROJECT NAME NOV'!$C19, Settings!$H:$H, 0)), "")</f>
        <v>650</v>
      </c>
      <c r="CW19" s="19">
        <f t="shared" si="20"/>
        <v>0</v>
      </c>
      <c r="CX19" s="19">
        <f t="shared" si="21"/>
        <v>0</v>
      </c>
      <c r="CY19" s="19">
        <f t="shared" si="7"/>
        <v>0</v>
      </c>
      <c r="DH19" s="86" t="str">
        <f>'Billable Till Date'!B15 &amp; "-" &amp; 'Billable Till Date'!C15</f>
        <v>Task/Activity-Unit Type</v>
      </c>
    </row>
    <row r="20" spans="2:120" x14ac:dyDescent="0.3">
      <c r="B20" s="3" t="s">
        <v>38</v>
      </c>
      <c r="C20" s="1" t="s">
        <v>28</v>
      </c>
      <c r="D20" s="1" t="s">
        <v>219</v>
      </c>
      <c r="E20" s="4" t="s">
        <v>50</v>
      </c>
      <c r="F20" s="21">
        <v>8</v>
      </c>
      <c r="G20" s="21">
        <v>0</v>
      </c>
      <c r="H20" s="21">
        <v>8</v>
      </c>
      <c r="I20" s="21">
        <v>2</v>
      </c>
      <c r="J20" s="21">
        <v>8</v>
      </c>
      <c r="K20" s="21">
        <v>2</v>
      </c>
      <c r="L20" s="21">
        <v>0</v>
      </c>
      <c r="M20" s="21">
        <v>0</v>
      </c>
      <c r="N20" s="21">
        <v>8</v>
      </c>
      <c r="O20" s="21">
        <v>2</v>
      </c>
      <c r="P20" s="21"/>
      <c r="Q20" s="21"/>
      <c r="R20" s="8">
        <f t="shared" si="0"/>
        <v>32</v>
      </c>
      <c r="S20" s="8">
        <f t="shared" si="1"/>
        <v>6</v>
      </c>
      <c r="T20" s="19">
        <f>IFERROR(INDEX(Settings!$F:$F, MATCH('PROJECT NAME NOV'!$B20 &amp; "-" &amp; 'PROJECT NAME NOV'!$C20, Settings!$H:$H,0)), "")</f>
        <v>106.25</v>
      </c>
      <c r="U20" s="19">
        <f>IFERROR(INDEX(Settings!$G:$G, MATCH('PROJECT NAME NOV'!$B20 &amp; "-" &amp; 'PROJECT NAME NOV'!$C20, Settings!$H:$H, 0)), "")</f>
        <v>850</v>
      </c>
      <c r="V20" s="19">
        <f t="shared" si="2"/>
        <v>4037.5</v>
      </c>
      <c r="W20" s="19">
        <f t="shared" si="22"/>
        <v>201.875</v>
      </c>
      <c r="X20" s="19">
        <f t="shared" si="8"/>
        <v>3835.625</v>
      </c>
      <c r="Y20" s="21">
        <v>8</v>
      </c>
      <c r="Z20" s="21">
        <v>0</v>
      </c>
      <c r="AA20" s="21">
        <v>8</v>
      </c>
      <c r="AB20" s="21">
        <v>2</v>
      </c>
      <c r="AC20" s="21">
        <v>8</v>
      </c>
      <c r="AD20" s="21">
        <v>0</v>
      </c>
      <c r="AE20" s="21">
        <v>8</v>
      </c>
      <c r="AF20" s="21">
        <v>2</v>
      </c>
      <c r="AG20" s="21">
        <v>8</v>
      </c>
      <c r="AH20" s="21">
        <v>2</v>
      </c>
      <c r="AI20" s="21">
        <v>0</v>
      </c>
      <c r="AJ20" s="21">
        <v>0</v>
      </c>
      <c r="AK20" s="21">
        <v>8</v>
      </c>
      <c r="AL20" s="21">
        <v>2</v>
      </c>
      <c r="AM20" s="44">
        <f>IFERROR(INDEX(Settings!$F:$F, MATCH('PROJECT NAME NOV'!$B20 &amp; "-" &amp; 'PROJECT NAME NOV'!$C20, Settings!$H:$H,0)), "")</f>
        <v>106.25</v>
      </c>
      <c r="AN20" s="44">
        <f>IFERROR(INDEX(Settings!$G:$G, MATCH('PROJECT NAME NOV'!$B20 &amp; "-" &amp; 'PROJECT NAME NOV'!$C20, Settings!$H:$H, 0)), "")</f>
        <v>850</v>
      </c>
      <c r="AO20" s="21">
        <f t="shared" si="9"/>
        <v>48</v>
      </c>
      <c r="AP20" s="21">
        <f t="shared" si="10"/>
        <v>8</v>
      </c>
      <c r="AQ20" s="44">
        <f t="shared" si="11"/>
        <v>5950</v>
      </c>
      <c r="AR20" s="44">
        <f t="shared" si="12"/>
        <v>297.5</v>
      </c>
      <c r="AS20" s="44">
        <f t="shared" si="13"/>
        <v>5652.5</v>
      </c>
      <c r="AT20" s="59"/>
      <c r="AU20" s="21">
        <v>8</v>
      </c>
      <c r="AV20" s="21">
        <v>0</v>
      </c>
      <c r="AW20" s="21">
        <v>0</v>
      </c>
      <c r="AX20" s="21">
        <v>0</v>
      </c>
      <c r="AY20" s="21">
        <v>8</v>
      </c>
      <c r="AZ20" s="21">
        <v>0</v>
      </c>
      <c r="BA20" s="21">
        <v>8</v>
      </c>
      <c r="BB20" s="21">
        <v>4</v>
      </c>
      <c r="BC20" s="21">
        <v>8</v>
      </c>
      <c r="BD20" s="21">
        <v>4</v>
      </c>
      <c r="BE20" s="21">
        <v>8</v>
      </c>
      <c r="BF20" s="28">
        <v>0</v>
      </c>
      <c r="BG20" s="28">
        <v>8</v>
      </c>
      <c r="BH20" s="8">
        <v>4</v>
      </c>
      <c r="BI20" s="8">
        <f t="shared" si="14"/>
        <v>48</v>
      </c>
      <c r="BJ20" s="8">
        <f t="shared" si="15"/>
        <v>12</v>
      </c>
      <c r="BK20" s="19">
        <f>IFERROR(INDEX(Settings!$F:$F, MATCH('PROJECT NAME NOV'!$B20 &amp; "-" &amp; 'PROJECT NAME NOV'!$C20, Settings!$H:$H,0)), "")</f>
        <v>106.25</v>
      </c>
      <c r="BL20" s="19">
        <f>IFERROR(INDEX(Settings!$G:$G, MATCH('PROJECT NAME NOV'!$B20 &amp; "-" &amp; 'PROJECT NAME NOV'!$C20, Settings!$H:$H, 0)), "")</f>
        <v>850</v>
      </c>
      <c r="BM20" s="19">
        <f t="shared" si="3"/>
        <v>6375</v>
      </c>
      <c r="BN20" s="19">
        <f t="shared" si="23"/>
        <v>318.75</v>
      </c>
      <c r="BO20" s="19">
        <f t="shared" si="16"/>
        <v>6056.25</v>
      </c>
      <c r="BP20" s="54"/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7">
        <v>0</v>
      </c>
      <c r="CC20" s="27">
        <v>0</v>
      </c>
      <c r="CD20" s="27"/>
      <c r="CE20" s="8">
        <f t="shared" si="17"/>
        <v>0</v>
      </c>
      <c r="CF20" s="8">
        <f t="shared" si="18"/>
        <v>0</v>
      </c>
      <c r="CG20" s="19">
        <f>IFERROR(INDEX(Settings!$F:$F, MATCH('PROJECT NAME NOV'!$B20 &amp; "-" &amp; 'PROJECT NAME NOV'!$C20, Settings!$H:$H,0)), "")</f>
        <v>106.25</v>
      </c>
      <c r="CH20" s="19">
        <f>IFERROR(INDEX(Settings!$G:$G, MATCH('PROJECT NAME NOV'!$B20 &amp; "-" &amp; 'PROJECT NAME NOV'!$C20, Settings!$H:$H, 0)), "")</f>
        <v>850</v>
      </c>
      <c r="CI20" s="19">
        <f t="shared" si="4"/>
        <v>0</v>
      </c>
      <c r="CJ20" s="19">
        <f t="shared" si="24"/>
        <v>0</v>
      </c>
      <c r="CK20" s="19">
        <f t="shared" si="19"/>
        <v>0</v>
      </c>
      <c r="CM20" s="27">
        <v>8</v>
      </c>
      <c r="CN20" s="27">
        <v>4</v>
      </c>
      <c r="CO20" s="27">
        <v>8</v>
      </c>
      <c r="CP20" s="27">
        <v>4</v>
      </c>
      <c r="CQ20" s="27"/>
      <c r="CR20" s="27"/>
      <c r="CS20" s="8">
        <f t="shared" si="5"/>
        <v>16</v>
      </c>
      <c r="CT20" s="8">
        <f t="shared" si="6"/>
        <v>8</v>
      </c>
      <c r="CU20" s="19">
        <f>IFERROR(INDEX(Settings!$F:$F, MATCH('PROJECT NAME NOV'!$B20 &amp; "-" &amp; 'PROJECT NAME NOV'!$C20, Settings!$H:$H,0)), "")</f>
        <v>106.25</v>
      </c>
      <c r="CV20" s="19">
        <f>IFERROR(INDEX(Settings!$G:$G, MATCH('PROJECT NAME NOV'!$B20 &amp; "-" &amp; 'PROJECT NAME NOV'!$C20, Settings!$H:$H, 0)), "")</f>
        <v>850</v>
      </c>
      <c r="CW20" s="19">
        <f t="shared" si="20"/>
        <v>2550</v>
      </c>
      <c r="CX20" s="19">
        <f t="shared" si="21"/>
        <v>127.5</v>
      </c>
      <c r="CY20" s="19">
        <f t="shared" si="7"/>
        <v>2422.5</v>
      </c>
      <c r="DH20" s="87" t="str">
        <f>'Billable Till Date'!B16 &amp; "-" &amp; 'Billable Till Date'!C16</f>
        <v>Task/Activity-Unit Type</v>
      </c>
    </row>
    <row r="21" spans="2:120" x14ac:dyDescent="0.3">
      <c r="B21" s="3" t="s">
        <v>38</v>
      </c>
      <c r="C21" s="1" t="s">
        <v>29</v>
      </c>
      <c r="D21" s="1" t="s">
        <v>220</v>
      </c>
      <c r="E21" s="4" t="s">
        <v>56</v>
      </c>
      <c r="F21" s="21">
        <v>8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8</v>
      </c>
      <c r="O21" s="21">
        <v>2</v>
      </c>
      <c r="P21" s="21"/>
      <c r="Q21" s="21"/>
      <c r="R21" s="8">
        <f t="shared" si="0"/>
        <v>16</v>
      </c>
      <c r="S21" s="8">
        <f t="shared" si="1"/>
        <v>2</v>
      </c>
      <c r="T21" s="19">
        <f>IFERROR(INDEX(Settings!$F:$F, MATCH('PROJECT NAME NOV'!$B21 &amp; "-" &amp; 'PROJECT NAME NOV'!$C21, Settings!$H:$H,0)), "")</f>
        <v>81.25</v>
      </c>
      <c r="U21" s="19">
        <f>IFERROR(INDEX(Settings!$G:$G, MATCH('PROJECT NAME NOV'!$B21 &amp; "-" &amp; 'PROJECT NAME NOV'!$C21, Settings!$H:$H, 0)), "")</f>
        <v>650</v>
      </c>
      <c r="V21" s="19">
        <f t="shared" si="2"/>
        <v>1462.5</v>
      </c>
      <c r="W21" s="19">
        <f t="shared" si="22"/>
        <v>73.125</v>
      </c>
      <c r="X21" s="19">
        <f t="shared" si="8"/>
        <v>1389.375</v>
      </c>
      <c r="Y21" s="21">
        <v>8</v>
      </c>
      <c r="Z21" s="21">
        <v>0</v>
      </c>
      <c r="AA21" s="21">
        <v>8</v>
      </c>
      <c r="AB21" s="21">
        <v>2</v>
      </c>
      <c r="AC21" s="21">
        <v>8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8</v>
      </c>
      <c r="AL21" s="21">
        <v>2</v>
      </c>
      <c r="AM21" s="44">
        <f>IFERROR(INDEX(Settings!$F:$F, MATCH('PROJECT NAME NOV'!$B21 &amp; "-" &amp; 'PROJECT NAME NOV'!$C21, Settings!$H:$H,0)), "")</f>
        <v>81.25</v>
      </c>
      <c r="AN21" s="44">
        <f>IFERROR(INDEX(Settings!$G:$G, MATCH('PROJECT NAME NOV'!$B21 &amp; "-" &amp; 'PROJECT NAME NOV'!$C21, Settings!$H:$H, 0)), "")</f>
        <v>650</v>
      </c>
      <c r="AO21" s="21">
        <f t="shared" si="9"/>
        <v>32</v>
      </c>
      <c r="AP21" s="21">
        <f t="shared" si="10"/>
        <v>4</v>
      </c>
      <c r="AQ21" s="44">
        <f t="shared" si="11"/>
        <v>2925</v>
      </c>
      <c r="AR21" s="44">
        <f t="shared" si="12"/>
        <v>146.25</v>
      </c>
      <c r="AS21" s="44">
        <f t="shared" si="13"/>
        <v>2778.75</v>
      </c>
      <c r="AT21" s="59"/>
      <c r="AU21" s="21">
        <v>8</v>
      </c>
      <c r="AV21" s="21">
        <v>0</v>
      </c>
      <c r="AW21" s="21">
        <v>8</v>
      </c>
      <c r="AX21" s="21">
        <v>4</v>
      </c>
      <c r="AY21" s="21">
        <v>8</v>
      </c>
      <c r="AZ21" s="21">
        <v>0</v>
      </c>
      <c r="BA21" s="21">
        <v>8</v>
      </c>
      <c r="BB21" s="21">
        <v>4</v>
      </c>
      <c r="BC21" s="21">
        <v>8</v>
      </c>
      <c r="BD21" s="21">
        <v>4</v>
      </c>
      <c r="BE21" s="21">
        <v>8</v>
      </c>
      <c r="BF21" s="28">
        <v>0</v>
      </c>
      <c r="BG21" s="28">
        <v>8</v>
      </c>
      <c r="BH21" s="8">
        <v>4</v>
      </c>
      <c r="BI21" s="8">
        <f t="shared" si="14"/>
        <v>56</v>
      </c>
      <c r="BJ21" s="8">
        <f t="shared" si="15"/>
        <v>16</v>
      </c>
      <c r="BK21" s="19">
        <f>IFERROR(INDEX(Settings!$F:$F, MATCH('PROJECT NAME NOV'!$B21 &amp; "-" &amp; 'PROJECT NAME NOV'!$C21, Settings!$H:$H,0)), "")</f>
        <v>81.25</v>
      </c>
      <c r="BL21" s="19">
        <f>IFERROR(INDEX(Settings!$G:$G, MATCH('PROJECT NAME NOV'!$B21 &amp; "-" &amp; 'PROJECT NAME NOV'!$C21, Settings!$H:$H, 0)), "")</f>
        <v>650</v>
      </c>
      <c r="BM21" s="19">
        <f t="shared" si="3"/>
        <v>5850</v>
      </c>
      <c r="BN21" s="19">
        <f t="shared" si="23"/>
        <v>292.5</v>
      </c>
      <c r="BO21" s="19">
        <f t="shared" si="16"/>
        <v>5557.5</v>
      </c>
      <c r="BP21" s="54"/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7">
        <v>0</v>
      </c>
      <c r="CC21" s="27">
        <v>0</v>
      </c>
      <c r="CD21" s="27"/>
      <c r="CE21" s="8">
        <f t="shared" si="17"/>
        <v>0</v>
      </c>
      <c r="CF21" s="8">
        <f t="shared" si="18"/>
        <v>0</v>
      </c>
      <c r="CG21" s="19">
        <f>IFERROR(INDEX(Settings!$F:$F, MATCH('PROJECT NAME NOV'!$B21 &amp; "-" &amp; 'PROJECT NAME NOV'!$C21, Settings!$H:$H,0)), "")</f>
        <v>81.25</v>
      </c>
      <c r="CH21" s="19">
        <f>IFERROR(INDEX(Settings!$G:$G, MATCH('PROJECT NAME NOV'!$B21 &amp; "-" &amp; 'PROJECT NAME NOV'!$C21, Settings!$H:$H, 0)), "")</f>
        <v>650</v>
      </c>
      <c r="CI21" s="19">
        <f t="shared" si="4"/>
        <v>0</v>
      </c>
      <c r="CJ21" s="19">
        <f t="shared" si="24"/>
        <v>0</v>
      </c>
      <c r="CK21" s="19">
        <f t="shared" si="19"/>
        <v>0</v>
      </c>
      <c r="CM21" s="27">
        <v>8</v>
      </c>
      <c r="CN21" s="27">
        <v>4</v>
      </c>
      <c r="CO21" s="27">
        <v>8</v>
      </c>
      <c r="CP21" s="27">
        <v>4</v>
      </c>
      <c r="CQ21" s="27"/>
      <c r="CR21" s="27"/>
      <c r="CS21" s="8">
        <f t="shared" si="5"/>
        <v>16</v>
      </c>
      <c r="CT21" s="8">
        <f t="shared" si="6"/>
        <v>8</v>
      </c>
      <c r="CU21" s="19">
        <f>IFERROR(INDEX(Settings!$F:$F, MATCH('PROJECT NAME NOV'!$B21 &amp; "-" &amp; 'PROJECT NAME NOV'!$C21, Settings!$H:$H,0)), "")</f>
        <v>81.25</v>
      </c>
      <c r="CV21" s="19">
        <f>IFERROR(INDEX(Settings!$G:$G, MATCH('PROJECT NAME NOV'!$B21 &amp; "-" &amp; 'PROJECT NAME NOV'!$C21, Settings!$H:$H, 0)), "")</f>
        <v>650</v>
      </c>
      <c r="CW21" s="19">
        <f t="shared" si="20"/>
        <v>1950</v>
      </c>
      <c r="CX21" s="19">
        <f t="shared" si="21"/>
        <v>97.5</v>
      </c>
      <c r="CY21" s="19">
        <f t="shared" si="7"/>
        <v>1852.5</v>
      </c>
      <c r="DH21" s="86" t="str">
        <f>'Billable Till Date'!B17 &amp; "-" &amp; 'Billable Till Date'!C17</f>
        <v>Task/Activity-Unit Type</v>
      </c>
    </row>
    <row r="22" spans="2:120" x14ac:dyDescent="0.3">
      <c r="B22" s="3" t="s">
        <v>38</v>
      </c>
      <c r="C22" s="1" t="s">
        <v>29</v>
      </c>
      <c r="D22" s="1" t="s">
        <v>221</v>
      </c>
      <c r="E22" s="4" t="s">
        <v>51</v>
      </c>
      <c r="F22" s="21">
        <v>8</v>
      </c>
      <c r="G22" s="21">
        <v>0</v>
      </c>
      <c r="H22" s="21">
        <v>8</v>
      </c>
      <c r="I22" s="21">
        <v>2</v>
      </c>
      <c r="J22" s="21">
        <v>8</v>
      </c>
      <c r="K22" s="21">
        <v>2</v>
      </c>
      <c r="L22" s="21">
        <v>0</v>
      </c>
      <c r="M22" s="21">
        <v>0</v>
      </c>
      <c r="N22" s="21">
        <v>8</v>
      </c>
      <c r="O22" s="21">
        <v>2</v>
      </c>
      <c r="P22" s="21"/>
      <c r="Q22" s="21"/>
      <c r="R22" s="8">
        <f t="shared" si="0"/>
        <v>32</v>
      </c>
      <c r="S22" s="8">
        <f t="shared" si="1"/>
        <v>6</v>
      </c>
      <c r="T22" s="19">
        <f>IFERROR(INDEX(Settings!$F:$F, MATCH('PROJECT NAME NOV'!$B22 &amp; "-" &amp; 'PROJECT NAME NOV'!$C22, Settings!$H:$H,0)), "")</f>
        <v>81.25</v>
      </c>
      <c r="U22" s="19">
        <f>IFERROR(INDEX(Settings!$G:$G, MATCH('PROJECT NAME NOV'!$B22 &amp; "-" &amp; 'PROJECT NAME NOV'!$C22, Settings!$H:$H, 0)), "")</f>
        <v>650</v>
      </c>
      <c r="V22" s="19">
        <f t="shared" si="2"/>
        <v>3087.5</v>
      </c>
      <c r="W22" s="19">
        <f t="shared" si="22"/>
        <v>154.375</v>
      </c>
      <c r="X22" s="19">
        <f t="shared" si="8"/>
        <v>2933.125</v>
      </c>
      <c r="Y22" s="21">
        <v>8</v>
      </c>
      <c r="Z22" s="21">
        <v>0</v>
      </c>
      <c r="AA22" s="21">
        <v>8</v>
      </c>
      <c r="AB22" s="21">
        <v>2</v>
      </c>
      <c r="AC22" s="21">
        <v>8</v>
      </c>
      <c r="AD22" s="21">
        <v>0</v>
      </c>
      <c r="AE22" s="21">
        <v>8</v>
      </c>
      <c r="AF22" s="21">
        <v>2</v>
      </c>
      <c r="AG22" s="21">
        <v>8</v>
      </c>
      <c r="AH22" s="21">
        <v>2</v>
      </c>
      <c r="AI22" s="21">
        <v>0</v>
      </c>
      <c r="AJ22" s="21">
        <v>0</v>
      </c>
      <c r="AK22" s="21">
        <v>8</v>
      </c>
      <c r="AL22" s="21">
        <v>2</v>
      </c>
      <c r="AM22" s="44">
        <f>IFERROR(INDEX(Settings!$F:$F, MATCH('PROJECT NAME NOV'!$B22 &amp; "-" &amp; 'PROJECT NAME NOV'!$C22, Settings!$H:$H,0)), "")</f>
        <v>81.25</v>
      </c>
      <c r="AN22" s="44">
        <f>IFERROR(INDEX(Settings!$G:$G, MATCH('PROJECT NAME NOV'!$B22 &amp; "-" &amp; 'PROJECT NAME NOV'!$C22, Settings!$H:$H, 0)), "")</f>
        <v>650</v>
      </c>
      <c r="AO22" s="21">
        <f t="shared" si="9"/>
        <v>48</v>
      </c>
      <c r="AP22" s="21">
        <f t="shared" si="10"/>
        <v>8</v>
      </c>
      <c r="AQ22" s="44">
        <f t="shared" si="11"/>
        <v>4550</v>
      </c>
      <c r="AR22" s="44">
        <f t="shared" si="12"/>
        <v>227.5</v>
      </c>
      <c r="AS22" s="44">
        <f t="shared" si="13"/>
        <v>4322.5</v>
      </c>
      <c r="AT22" s="59"/>
      <c r="AU22" s="21">
        <v>8</v>
      </c>
      <c r="AV22" s="21">
        <v>0</v>
      </c>
      <c r="AW22" s="21">
        <v>8</v>
      </c>
      <c r="AX22" s="21">
        <v>4</v>
      </c>
      <c r="AY22" s="21">
        <v>8</v>
      </c>
      <c r="AZ22" s="21">
        <v>0</v>
      </c>
      <c r="BA22" s="21">
        <v>8</v>
      </c>
      <c r="BB22" s="21">
        <v>4</v>
      </c>
      <c r="BC22" s="21">
        <v>8</v>
      </c>
      <c r="BD22" s="21">
        <v>4</v>
      </c>
      <c r="BE22" s="21">
        <v>8</v>
      </c>
      <c r="BF22" s="28">
        <v>0</v>
      </c>
      <c r="BG22" s="28">
        <v>8</v>
      </c>
      <c r="BH22" s="8">
        <v>4</v>
      </c>
      <c r="BI22" s="8">
        <f t="shared" si="14"/>
        <v>56</v>
      </c>
      <c r="BJ22" s="8">
        <f t="shared" si="15"/>
        <v>16</v>
      </c>
      <c r="BK22" s="19">
        <f>IFERROR(INDEX(Settings!$F:$F, MATCH('PROJECT NAME NOV'!$B22 &amp; "-" &amp; 'PROJECT NAME NOV'!$C22, Settings!$H:$H,0)), "")</f>
        <v>81.25</v>
      </c>
      <c r="BL22" s="19">
        <f>IFERROR(INDEX(Settings!$G:$G, MATCH('PROJECT NAME NOV'!$B22 &amp; "-" &amp; 'PROJECT NAME NOV'!$C22, Settings!$H:$H, 0)), "")</f>
        <v>650</v>
      </c>
      <c r="BM22" s="19">
        <f t="shared" si="3"/>
        <v>5850</v>
      </c>
      <c r="BN22" s="19">
        <f t="shared" si="23"/>
        <v>292.5</v>
      </c>
      <c r="BO22" s="19">
        <f t="shared" si="16"/>
        <v>5557.5</v>
      </c>
      <c r="BP22" s="54"/>
      <c r="BQ22" s="21">
        <v>8</v>
      </c>
      <c r="BR22" s="21">
        <v>2</v>
      </c>
      <c r="BS22" s="27">
        <v>8</v>
      </c>
      <c r="BT22" s="27">
        <v>2</v>
      </c>
      <c r="BU22" s="27">
        <v>8</v>
      </c>
      <c r="BV22" s="27">
        <v>0</v>
      </c>
      <c r="BW22" s="27">
        <v>8</v>
      </c>
      <c r="BX22" s="27">
        <v>2</v>
      </c>
      <c r="BY22" s="27">
        <v>8</v>
      </c>
      <c r="BZ22" s="27">
        <v>2</v>
      </c>
      <c r="CA22" s="27">
        <v>8</v>
      </c>
      <c r="CB22" s="27">
        <v>2</v>
      </c>
      <c r="CC22" s="27">
        <v>8</v>
      </c>
      <c r="CD22" s="27"/>
      <c r="CE22" s="8">
        <f t="shared" si="17"/>
        <v>56</v>
      </c>
      <c r="CF22" s="8">
        <f t="shared" si="18"/>
        <v>10</v>
      </c>
      <c r="CG22" s="19">
        <f>IFERROR(INDEX(Settings!$F:$F, MATCH('PROJECT NAME NOV'!$B22 &amp; "-" &amp; 'PROJECT NAME NOV'!$C22, Settings!$H:$H,0)), "")</f>
        <v>81.25</v>
      </c>
      <c r="CH22" s="19">
        <f>IFERROR(INDEX(Settings!$G:$G, MATCH('PROJECT NAME NOV'!$B22 &amp; "-" &amp; 'PROJECT NAME NOV'!$C22, Settings!$H:$H, 0)), "")</f>
        <v>650</v>
      </c>
      <c r="CI22" s="19">
        <f t="shared" si="4"/>
        <v>5362.5</v>
      </c>
      <c r="CJ22" s="19">
        <f t="shared" si="24"/>
        <v>268.125</v>
      </c>
      <c r="CK22" s="19">
        <f t="shared" si="19"/>
        <v>5094.375</v>
      </c>
      <c r="CM22" s="27">
        <v>8</v>
      </c>
      <c r="CN22" s="27">
        <v>4</v>
      </c>
      <c r="CO22" s="27">
        <v>8</v>
      </c>
      <c r="CP22" s="27">
        <v>4</v>
      </c>
      <c r="CQ22" s="27"/>
      <c r="CR22" s="27"/>
      <c r="CS22" s="8">
        <f t="shared" si="5"/>
        <v>16</v>
      </c>
      <c r="CT22" s="8">
        <f t="shared" si="6"/>
        <v>8</v>
      </c>
      <c r="CU22" s="19">
        <f>IFERROR(INDEX(Settings!$F:$F, MATCH('PROJECT NAME NOV'!$B22 &amp; "-" &amp; 'PROJECT NAME NOV'!$C22, Settings!$H:$H,0)), "")</f>
        <v>81.25</v>
      </c>
      <c r="CV22" s="19">
        <f>IFERROR(INDEX(Settings!$G:$G, MATCH('PROJECT NAME NOV'!$B22 &amp; "-" &amp; 'PROJECT NAME NOV'!$C22, Settings!$H:$H, 0)), "")</f>
        <v>650</v>
      </c>
      <c r="CW22" s="19">
        <f t="shared" si="20"/>
        <v>1950</v>
      </c>
      <c r="CX22" s="19">
        <f t="shared" si="21"/>
        <v>97.5</v>
      </c>
      <c r="CY22" s="19">
        <f t="shared" si="7"/>
        <v>1852.5</v>
      </c>
      <c r="DH22" s="87" t="str">
        <f>'Billable Till Date'!B18 &amp; "-" &amp; 'Billable Till Date'!C18</f>
        <v>Task/Activity-Unit Type</v>
      </c>
      <c r="DK22" s="101"/>
      <c r="DL22" s="2"/>
      <c r="DM22" s="10"/>
      <c r="DN22" s="10"/>
      <c r="DO22" s="104"/>
      <c r="DP22" s="104"/>
    </row>
    <row r="23" spans="2:120" x14ac:dyDescent="0.3">
      <c r="B23" s="3" t="s">
        <v>38</v>
      </c>
      <c r="C23" s="1" t="s">
        <v>29</v>
      </c>
      <c r="D23" s="1" t="s">
        <v>222</v>
      </c>
      <c r="E23" s="4" t="s">
        <v>52</v>
      </c>
      <c r="F23" s="21">
        <v>8</v>
      </c>
      <c r="G23" s="21">
        <v>0</v>
      </c>
      <c r="H23" s="21">
        <v>8</v>
      </c>
      <c r="I23" s="21">
        <v>2</v>
      </c>
      <c r="J23" s="21">
        <v>8</v>
      </c>
      <c r="K23" s="21">
        <v>2</v>
      </c>
      <c r="L23" s="21">
        <v>8</v>
      </c>
      <c r="M23" s="21">
        <v>2</v>
      </c>
      <c r="N23" s="21">
        <v>8</v>
      </c>
      <c r="O23" s="21">
        <v>2</v>
      </c>
      <c r="P23" s="21"/>
      <c r="Q23" s="21"/>
      <c r="R23" s="8">
        <f t="shared" si="0"/>
        <v>40</v>
      </c>
      <c r="S23" s="8">
        <f t="shared" si="1"/>
        <v>8</v>
      </c>
      <c r="T23" s="19">
        <f>IFERROR(INDEX(Settings!$F:$F, MATCH('PROJECT NAME NOV'!$B23 &amp; "-" &amp; 'PROJECT NAME NOV'!$C23, Settings!$H:$H,0)), "")</f>
        <v>81.25</v>
      </c>
      <c r="U23" s="19">
        <f>IFERROR(INDEX(Settings!$G:$G, MATCH('PROJECT NAME NOV'!$B23 &amp; "-" &amp; 'PROJECT NAME NOV'!$C23, Settings!$H:$H, 0)), "")</f>
        <v>650</v>
      </c>
      <c r="V23" s="19">
        <f t="shared" si="2"/>
        <v>3900</v>
      </c>
      <c r="W23" s="19">
        <f t="shared" si="22"/>
        <v>195</v>
      </c>
      <c r="X23" s="19">
        <f t="shared" si="8"/>
        <v>3705</v>
      </c>
      <c r="Y23" s="21">
        <v>8</v>
      </c>
      <c r="Z23" s="21">
        <v>0</v>
      </c>
      <c r="AA23" s="21">
        <v>8</v>
      </c>
      <c r="AB23" s="21">
        <v>2</v>
      </c>
      <c r="AC23" s="21">
        <v>8</v>
      </c>
      <c r="AD23" s="21">
        <v>0</v>
      </c>
      <c r="AE23" s="21">
        <v>8</v>
      </c>
      <c r="AF23" s="21">
        <v>2</v>
      </c>
      <c r="AG23" s="21">
        <v>8</v>
      </c>
      <c r="AH23" s="21">
        <v>2</v>
      </c>
      <c r="AI23" s="21">
        <v>8</v>
      </c>
      <c r="AJ23" s="21">
        <v>2</v>
      </c>
      <c r="AK23" s="21">
        <v>8</v>
      </c>
      <c r="AL23" s="21">
        <v>2</v>
      </c>
      <c r="AM23" s="44">
        <f>IFERROR(INDEX(Settings!$F:$F, MATCH('PROJECT NAME NOV'!$B23 &amp; "-" &amp; 'PROJECT NAME NOV'!$C23, Settings!$H:$H,0)), "")</f>
        <v>81.25</v>
      </c>
      <c r="AN23" s="44">
        <f>IFERROR(INDEX(Settings!$G:$G, MATCH('PROJECT NAME NOV'!$B23 &amp; "-" &amp; 'PROJECT NAME NOV'!$C23, Settings!$H:$H, 0)), "")</f>
        <v>650</v>
      </c>
      <c r="AO23" s="21">
        <f t="shared" si="9"/>
        <v>56</v>
      </c>
      <c r="AP23" s="21">
        <f t="shared" si="10"/>
        <v>10</v>
      </c>
      <c r="AQ23" s="44">
        <f t="shared" si="11"/>
        <v>5362.5</v>
      </c>
      <c r="AR23" s="44">
        <f t="shared" si="12"/>
        <v>268.125</v>
      </c>
      <c r="AS23" s="44">
        <f t="shared" si="13"/>
        <v>5094.375</v>
      </c>
      <c r="AT23" s="59"/>
      <c r="AU23" s="21">
        <v>8</v>
      </c>
      <c r="AV23" s="21">
        <v>0</v>
      </c>
      <c r="AW23" s="21">
        <v>8</v>
      </c>
      <c r="AX23" s="21">
        <v>0</v>
      </c>
      <c r="AY23" s="21">
        <v>8</v>
      </c>
      <c r="AZ23" s="21">
        <v>0</v>
      </c>
      <c r="BA23" s="21">
        <v>8</v>
      </c>
      <c r="BB23" s="21">
        <v>4</v>
      </c>
      <c r="BC23" s="21">
        <v>8</v>
      </c>
      <c r="BD23" s="21">
        <v>4</v>
      </c>
      <c r="BE23" s="21">
        <v>8</v>
      </c>
      <c r="BF23" s="28">
        <v>0</v>
      </c>
      <c r="BG23" s="28">
        <v>8</v>
      </c>
      <c r="BH23" s="8">
        <v>4</v>
      </c>
      <c r="BI23" s="8">
        <f t="shared" si="14"/>
        <v>56</v>
      </c>
      <c r="BJ23" s="8">
        <f t="shared" si="15"/>
        <v>12</v>
      </c>
      <c r="BK23" s="19">
        <f>IFERROR(INDEX(Settings!$F:$F, MATCH('PROJECT NAME NOV'!$B23 &amp; "-" &amp; 'PROJECT NAME NOV'!$C23, Settings!$H:$H,0)), "")</f>
        <v>81.25</v>
      </c>
      <c r="BL23" s="19">
        <f>IFERROR(INDEX(Settings!$G:$G, MATCH('PROJECT NAME NOV'!$B23 &amp; "-" &amp; 'PROJECT NAME NOV'!$C23, Settings!$H:$H, 0)), "")</f>
        <v>650</v>
      </c>
      <c r="BM23" s="19">
        <f t="shared" si="3"/>
        <v>5525</v>
      </c>
      <c r="BN23" s="19">
        <f t="shared" si="23"/>
        <v>276.25</v>
      </c>
      <c r="BO23" s="19">
        <f t="shared" si="16"/>
        <v>5248.75</v>
      </c>
      <c r="BP23" s="54"/>
      <c r="BQ23" s="21">
        <v>8</v>
      </c>
      <c r="BR23" s="21">
        <v>2</v>
      </c>
      <c r="BS23" s="27">
        <v>8</v>
      </c>
      <c r="BT23" s="27">
        <v>2</v>
      </c>
      <c r="BU23" s="27">
        <v>8</v>
      </c>
      <c r="BV23" s="27">
        <v>0</v>
      </c>
      <c r="BW23" s="27">
        <v>8</v>
      </c>
      <c r="BX23" s="27">
        <v>2</v>
      </c>
      <c r="BY23" s="27">
        <v>8</v>
      </c>
      <c r="BZ23" s="27">
        <v>2</v>
      </c>
      <c r="CA23" s="27">
        <v>8</v>
      </c>
      <c r="CB23" s="27">
        <v>2</v>
      </c>
      <c r="CC23" s="27">
        <v>8</v>
      </c>
      <c r="CD23" s="27"/>
      <c r="CE23" s="8">
        <f t="shared" si="17"/>
        <v>56</v>
      </c>
      <c r="CF23" s="8">
        <f t="shared" si="18"/>
        <v>10</v>
      </c>
      <c r="CG23" s="19">
        <f>IFERROR(INDEX(Settings!$F:$F, MATCH('PROJECT NAME NOV'!$B23 &amp; "-" &amp; 'PROJECT NAME NOV'!$C23, Settings!$H:$H,0)), "")</f>
        <v>81.25</v>
      </c>
      <c r="CH23" s="19">
        <f>IFERROR(INDEX(Settings!$G:$G, MATCH('PROJECT NAME NOV'!$B23 &amp; "-" &amp; 'PROJECT NAME NOV'!$C23, Settings!$H:$H, 0)), "")</f>
        <v>650</v>
      </c>
      <c r="CI23" s="19">
        <f t="shared" si="4"/>
        <v>5362.5</v>
      </c>
      <c r="CJ23" s="19">
        <f t="shared" si="24"/>
        <v>268.125</v>
      </c>
      <c r="CK23" s="19">
        <f t="shared" si="19"/>
        <v>5094.375</v>
      </c>
      <c r="CM23" s="27">
        <v>8</v>
      </c>
      <c r="CN23" s="27">
        <v>4</v>
      </c>
      <c r="CO23" s="27">
        <v>8</v>
      </c>
      <c r="CP23" s="27">
        <v>4</v>
      </c>
      <c r="CQ23" s="27"/>
      <c r="CR23" s="27"/>
      <c r="CS23" s="8">
        <f t="shared" si="5"/>
        <v>16</v>
      </c>
      <c r="CT23" s="8">
        <f t="shared" si="6"/>
        <v>8</v>
      </c>
      <c r="CU23" s="19">
        <f>IFERROR(INDEX(Settings!$F:$F, MATCH('PROJECT NAME NOV'!$B23 &amp; "-" &amp; 'PROJECT NAME NOV'!$C23, Settings!$H:$H,0)), "")</f>
        <v>81.25</v>
      </c>
      <c r="CV23" s="19">
        <f>IFERROR(INDEX(Settings!$G:$G, MATCH('PROJECT NAME NOV'!$B23 &amp; "-" &amp; 'PROJECT NAME NOV'!$C23, Settings!$H:$H, 0)), "")</f>
        <v>650</v>
      </c>
      <c r="CW23" s="19">
        <f t="shared" si="20"/>
        <v>1950</v>
      </c>
      <c r="CX23" s="19">
        <f t="shared" si="21"/>
        <v>97.5</v>
      </c>
      <c r="CY23" s="19">
        <f t="shared" si="7"/>
        <v>1852.5</v>
      </c>
      <c r="DH23" s="86" t="str">
        <f>'Billable Till Date'!B19 &amp; "-" &amp; 'Billable Till Date'!C19</f>
        <v>Task/Activity-Unit Type</v>
      </c>
    </row>
    <row r="24" spans="2:120" x14ac:dyDescent="0.3">
      <c r="B24" s="3" t="s">
        <v>38</v>
      </c>
      <c r="C24" s="1" t="s">
        <v>29</v>
      </c>
      <c r="D24" s="1" t="s">
        <v>223</v>
      </c>
      <c r="E24" s="4" t="s">
        <v>53</v>
      </c>
      <c r="F24" s="21">
        <v>8</v>
      </c>
      <c r="G24" s="21">
        <v>0</v>
      </c>
      <c r="H24" s="21">
        <v>8</v>
      </c>
      <c r="I24" s="21">
        <v>2</v>
      </c>
      <c r="J24" s="21">
        <v>8</v>
      </c>
      <c r="K24" s="21">
        <v>2</v>
      </c>
      <c r="L24" s="21">
        <v>8</v>
      </c>
      <c r="M24" s="21">
        <v>2</v>
      </c>
      <c r="N24" s="21">
        <v>8</v>
      </c>
      <c r="O24" s="21">
        <v>2</v>
      </c>
      <c r="P24" s="21"/>
      <c r="Q24" s="21"/>
      <c r="R24" s="8">
        <f t="shared" si="0"/>
        <v>40</v>
      </c>
      <c r="S24" s="8">
        <f t="shared" si="1"/>
        <v>8</v>
      </c>
      <c r="T24" s="19">
        <f>IFERROR(INDEX(Settings!$F:$F, MATCH('PROJECT NAME NOV'!$B24 &amp; "-" &amp; 'PROJECT NAME NOV'!$C24, Settings!$H:$H,0)), "")</f>
        <v>81.25</v>
      </c>
      <c r="U24" s="19">
        <f>IFERROR(INDEX(Settings!$G:$G, MATCH('PROJECT NAME NOV'!$B24 &amp; "-" &amp; 'PROJECT NAME NOV'!$C24, Settings!$H:$H, 0)), "")</f>
        <v>650</v>
      </c>
      <c r="V24" s="19">
        <f t="shared" si="2"/>
        <v>3900</v>
      </c>
      <c r="W24" s="19">
        <f t="shared" si="22"/>
        <v>195</v>
      </c>
      <c r="X24" s="19">
        <f t="shared" si="8"/>
        <v>3705</v>
      </c>
      <c r="Y24" s="21">
        <v>8</v>
      </c>
      <c r="Z24" s="21">
        <v>0</v>
      </c>
      <c r="AA24" s="21">
        <v>8</v>
      </c>
      <c r="AB24" s="21">
        <v>2</v>
      </c>
      <c r="AC24" s="21">
        <v>8</v>
      </c>
      <c r="AD24" s="21">
        <v>0</v>
      </c>
      <c r="AE24" s="21">
        <v>8</v>
      </c>
      <c r="AF24" s="21">
        <v>2</v>
      </c>
      <c r="AG24" s="21">
        <v>8</v>
      </c>
      <c r="AH24" s="21">
        <v>2</v>
      </c>
      <c r="AI24" s="21">
        <v>8</v>
      </c>
      <c r="AJ24" s="21">
        <v>2</v>
      </c>
      <c r="AK24" s="21">
        <v>8</v>
      </c>
      <c r="AL24" s="21">
        <v>2</v>
      </c>
      <c r="AM24" s="44">
        <f>IFERROR(INDEX(Settings!$F:$F, MATCH('PROJECT NAME NOV'!$B24 &amp; "-" &amp; 'PROJECT NAME NOV'!$C24, Settings!$H:$H,0)), "")</f>
        <v>81.25</v>
      </c>
      <c r="AN24" s="44">
        <f>IFERROR(INDEX(Settings!$G:$G, MATCH('PROJECT NAME NOV'!$B24 &amp; "-" &amp; 'PROJECT NAME NOV'!$C24, Settings!$H:$H, 0)), "")</f>
        <v>650</v>
      </c>
      <c r="AO24" s="21">
        <f t="shared" si="9"/>
        <v>56</v>
      </c>
      <c r="AP24" s="21">
        <f t="shared" si="10"/>
        <v>10</v>
      </c>
      <c r="AQ24" s="44">
        <f t="shared" si="11"/>
        <v>5362.5</v>
      </c>
      <c r="AR24" s="44">
        <f t="shared" si="12"/>
        <v>268.125</v>
      </c>
      <c r="AS24" s="44">
        <f t="shared" si="13"/>
        <v>5094.375</v>
      </c>
      <c r="AT24" s="59"/>
      <c r="AU24" s="21">
        <v>8</v>
      </c>
      <c r="AV24" s="21">
        <v>0</v>
      </c>
      <c r="AW24" s="21">
        <v>8</v>
      </c>
      <c r="AX24" s="21">
        <v>4</v>
      </c>
      <c r="AY24" s="21">
        <v>8</v>
      </c>
      <c r="AZ24" s="21">
        <v>0</v>
      </c>
      <c r="BA24" s="21">
        <v>8</v>
      </c>
      <c r="BB24" s="21">
        <v>4</v>
      </c>
      <c r="BC24" s="21">
        <v>8</v>
      </c>
      <c r="BD24" s="21">
        <v>4</v>
      </c>
      <c r="BE24" s="21">
        <v>8</v>
      </c>
      <c r="BF24" s="28">
        <v>0</v>
      </c>
      <c r="BG24" s="28">
        <v>8</v>
      </c>
      <c r="BH24" s="8">
        <v>4</v>
      </c>
      <c r="BI24" s="8">
        <f t="shared" si="14"/>
        <v>56</v>
      </c>
      <c r="BJ24" s="8">
        <f t="shared" si="15"/>
        <v>16</v>
      </c>
      <c r="BK24" s="19">
        <f>IFERROR(INDEX(Settings!$F:$F, MATCH('PROJECT NAME NOV'!$B24 &amp; "-" &amp; 'PROJECT NAME NOV'!$C24, Settings!$H:$H,0)), "")</f>
        <v>81.25</v>
      </c>
      <c r="BL24" s="19">
        <f>IFERROR(INDEX(Settings!$G:$G, MATCH('PROJECT NAME NOV'!$B24 &amp; "-" &amp; 'PROJECT NAME NOV'!$C24, Settings!$H:$H, 0)), "")</f>
        <v>650</v>
      </c>
      <c r="BM24" s="19">
        <f t="shared" si="3"/>
        <v>5850</v>
      </c>
      <c r="BN24" s="19">
        <f t="shared" si="23"/>
        <v>292.5</v>
      </c>
      <c r="BO24" s="19">
        <f t="shared" si="16"/>
        <v>5557.5</v>
      </c>
      <c r="BP24" s="54"/>
      <c r="BQ24" s="21">
        <v>8</v>
      </c>
      <c r="BR24" s="21">
        <v>2</v>
      </c>
      <c r="BS24" s="27">
        <v>8</v>
      </c>
      <c r="BT24" s="27">
        <v>2</v>
      </c>
      <c r="BU24" s="27">
        <v>8</v>
      </c>
      <c r="BV24" s="27">
        <v>0</v>
      </c>
      <c r="BW24" s="27">
        <v>8</v>
      </c>
      <c r="BX24" s="27">
        <v>2</v>
      </c>
      <c r="BY24" s="27">
        <v>8</v>
      </c>
      <c r="BZ24" s="27">
        <v>2</v>
      </c>
      <c r="CA24" s="27">
        <v>8</v>
      </c>
      <c r="CB24" s="27">
        <v>2</v>
      </c>
      <c r="CC24" s="27">
        <v>8</v>
      </c>
      <c r="CD24" s="27"/>
      <c r="CE24" s="8">
        <f t="shared" si="17"/>
        <v>56</v>
      </c>
      <c r="CF24" s="8">
        <f t="shared" si="18"/>
        <v>10</v>
      </c>
      <c r="CG24" s="19">
        <f>IFERROR(INDEX(Settings!$F:$F, MATCH('PROJECT NAME NOV'!$B24 &amp; "-" &amp; 'PROJECT NAME NOV'!$C24, Settings!$H:$H,0)), "")</f>
        <v>81.25</v>
      </c>
      <c r="CH24" s="19">
        <f>IFERROR(INDEX(Settings!$G:$G, MATCH('PROJECT NAME NOV'!$B24 &amp; "-" &amp; 'PROJECT NAME NOV'!$C24, Settings!$H:$H, 0)), "")</f>
        <v>650</v>
      </c>
      <c r="CI24" s="19">
        <f t="shared" si="4"/>
        <v>5362.5</v>
      </c>
      <c r="CJ24" s="19">
        <f t="shared" si="24"/>
        <v>268.125</v>
      </c>
      <c r="CK24" s="19">
        <f t="shared" si="19"/>
        <v>5094.375</v>
      </c>
      <c r="CM24" s="27">
        <v>8</v>
      </c>
      <c r="CN24" s="27">
        <v>4</v>
      </c>
      <c r="CO24" s="27">
        <v>8</v>
      </c>
      <c r="CP24" s="27">
        <v>4</v>
      </c>
      <c r="CQ24" s="27"/>
      <c r="CR24" s="27"/>
      <c r="CS24" s="8">
        <f t="shared" si="5"/>
        <v>16</v>
      </c>
      <c r="CT24" s="8">
        <f t="shared" si="6"/>
        <v>8</v>
      </c>
      <c r="CU24" s="19">
        <f>IFERROR(INDEX(Settings!$F:$F, MATCH('PROJECT NAME NOV'!$B24 &amp; "-" &amp; 'PROJECT NAME NOV'!$C24, Settings!$H:$H,0)), "")</f>
        <v>81.25</v>
      </c>
      <c r="CV24" s="19">
        <f>IFERROR(INDEX(Settings!$G:$G, MATCH('PROJECT NAME NOV'!$B24 &amp; "-" &amp; 'PROJECT NAME NOV'!$C24, Settings!$H:$H, 0)), "")</f>
        <v>650</v>
      </c>
      <c r="CW24" s="19">
        <f t="shared" si="20"/>
        <v>1950</v>
      </c>
      <c r="CX24" s="19">
        <f t="shared" si="21"/>
        <v>97.5</v>
      </c>
      <c r="CY24" s="19">
        <f t="shared" si="7"/>
        <v>1852.5</v>
      </c>
      <c r="DH24" s="87" t="str">
        <f>'Billable Till Date'!B20 &amp; "-" &amp; 'Billable Till Date'!C20</f>
        <v>Task/Activity-Unit Type</v>
      </c>
    </row>
    <row r="25" spans="2:120" x14ac:dyDescent="0.3">
      <c r="B25" s="3" t="s">
        <v>38</v>
      </c>
      <c r="C25" s="1" t="s">
        <v>29</v>
      </c>
      <c r="D25" s="1" t="s">
        <v>224</v>
      </c>
      <c r="E25" s="4" t="s">
        <v>54</v>
      </c>
      <c r="F25" s="21">
        <v>8</v>
      </c>
      <c r="G25" s="21">
        <v>0</v>
      </c>
      <c r="H25" s="21">
        <v>8</v>
      </c>
      <c r="I25" s="21">
        <v>2</v>
      </c>
      <c r="J25" s="21">
        <v>8</v>
      </c>
      <c r="K25" s="21">
        <v>2</v>
      </c>
      <c r="L25" s="21">
        <v>0</v>
      </c>
      <c r="M25" s="21">
        <v>0</v>
      </c>
      <c r="N25" s="21">
        <v>8</v>
      </c>
      <c r="O25" s="21">
        <v>2</v>
      </c>
      <c r="P25" s="21"/>
      <c r="Q25" s="21"/>
      <c r="R25" s="8">
        <f t="shared" si="0"/>
        <v>32</v>
      </c>
      <c r="S25" s="8">
        <f t="shared" si="1"/>
        <v>6</v>
      </c>
      <c r="T25" s="19">
        <f>IFERROR(INDEX(Settings!$F:$F, MATCH('PROJECT NAME NOV'!$B25 &amp; "-" &amp; 'PROJECT NAME NOV'!$C25, Settings!$H:$H,0)), "")</f>
        <v>81.25</v>
      </c>
      <c r="U25" s="19">
        <f>IFERROR(INDEX(Settings!$G:$G, MATCH('PROJECT NAME NOV'!$B25 &amp; "-" &amp; 'PROJECT NAME NOV'!$C25, Settings!$H:$H, 0)), "")</f>
        <v>650</v>
      </c>
      <c r="V25" s="19">
        <f t="shared" si="2"/>
        <v>3087.5</v>
      </c>
      <c r="W25" s="19">
        <f t="shared" si="22"/>
        <v>154.375</v>
      </c>
      <c r="X25" s="19">
        <f t="shared" si="8"/>
        <v>2933.125</v>
      </c>
      <c r="Y25" s="21">
        <v>8</v>
      </c>
      <c r="Z25" s="21">
        <v>0</v>
      </c>
      <c r="AA25" s="21">
        <v>8</v>
      </c>
      <c r="AB25" s="21">
        <v>2</v>
      </c>
      <c r="AC25" s="21">
        <v>8</v>
      </c>
      <c r="AD25" s="21">
        <v>0</v>
      </c>
      <c r="AE25" s="21">
        <v>8</v>
      </c>
      <c r="AF25" s="21">
        <v>2</v>
      </c>
      <c r="AG25" s="21">
        <v>8</v>
      </c>
      <c r="AH25" s="21">
        <v>2</v>
      </c>
      <c r="AI25" s="21">
        <v>0</v>
      </c>
      <c r="AJ25" s="21">
        <v>0</v>
      </c>
      <c r="AK25" s="21">
        <v>8</v>
      </c>
      <c r="AL25" s="21">
        <v>2</v>
      </c>
      <c r="AM25" s="44">
        <f>IFERROR(INDEX(Settings!$F:$F, MATCH('PROJECT NAME NOV'!$B25 &amp; "-" &amp; 'PROJECT NAME NOV'!$C25, Settings!$H:$H,0)), "")</f>
        <v>81.25</v>
      </c>
      <c r="AN25" s="44">
        <f>IFERROR(INDEX(Settings!$G:$G, MATCH('PROJECT NAME NOV'!$B25 &amp; "-" &amp; 'PROJECT NAME NOV'!$C25, Settings!$H:$H, 0)), "")</f>
        <v>650</v>
      </c>
      <c r="AO25" s="21">
        <f t="shared" si="9"/>
        <v>48</v>
      </c>
      <c r="AP25" s="21">
        <f t="shared" si="10"/>
        <v>8</v>
      </c>
      <c r="AQ25" s="44">
        <f t="shared" si="11"/>
        <v>4550</v>
      </c>
      <c r="AR25" s="44">
        <f t="shared" si="12"/>
        <v>227.5</v>
      </c>
      <c r="AS25" s="44">
        <f t="shared" si="13"/>
        <v>4322.5</v>
      </c>
      <c r="AT25" s="59"/>
      <c r="AU25" s="21">
        <v>8</v>
      </c>
      <c r="AV25" s="21">
        <v>2</v>
      </c>
      <c r="AW25" s="21">
        <v>8</v>
      </c>
      <c r="AX25" s="21">
        <v>4</v>
      </c>
      <c r="AY25" s="21">
        <v>8</v>
      </c>
      <c r="AZ25" s="21">
        <v>0</v>
      </c>
      <c r="BA25" s="21">
        <v>8</v>
      </c>
      <c r="BB25" s="21">
        <v>4</v>
      </c>
      <c r="BC25" s="21">
        <v>8</v>
      </c>
      <c r="BD25" s="21">
        <v>4</v>
      </c>
      <c r="BE25" s="21">
        <v>8</v>
      </c>
      <c r="BF25" s="28">
        <v>0</v>
      </c>
      <c r="BG25" s="28">
        <v>8</v>
      </c>
      <c r="BH25" s="8">
        <v>4</v>
      </c>
      <c r="BI25" s="8">
        <f t="shared" si="14"/>
        <v>56</v>
      </c>
      <c r="BJ25" s="8">
        <f t="shared" si="15"/>
        <v>18</v>
      </c>
      <c r="BK25" s="19">
        <f>IFERROR(INDEX(Settings!$F:$F, MATCH('PROJECT NAME NOV'!$B25 &amp; "-" &amp; 'PROJECT NAME NOV'!$C25, Settings!$H:$H,0)), "")</f>
        <v>81.25</v>
      </c>
      <c r="BL25" s="19">
        <f>IFERROR(INDEX(Settings!$G:$G, MATCH('PROJECT NAME NOV'!$B25 &amp; "-" &amp; 'PROJECT NAME NOV'!$C25, Settings!$H:$H, 0)), "")</f>
        <v>650</v>
      </c>
      <c r="BM25" s="19">
        <f t="shared" si="3"/>
        <v>6012.5</v>
      </c>
      <c r="BN25" s="19">
        <f t="shared" si="23"/>
        <v>300.625</v>
      </c>
      <c r="BO25" s="19">
        <f t="shared" si="16"/>
        <v>5711.875</v>
      </c>
      <c r="BP25" s="54"/>
      <c r="BQ25" s="21">
        <v>8</v>
      </c>
      <c r="BR25" s="21">
        <v>2</v>
      </c>
      <c r="BS25" s="27">
        <v>8</v>
      </c>
      <c r="BT25" s="27">
        <v>2</v>
      </c>
      <c r="BU25" s="27">
        <v>8</v>
      </c>
      <c r="BV25" s="27">
        <v>0</v>
      </c>
      <c r="BW25" s="27">
        <v>8</v>
      </c>
      <c r="BX25" s="27">
        <v>2</v>
      </c>
      <c r="BY25" s="27">
        <v>8</v>
      </c>
      <c r="BZ25" s="27">
        <v>2</v>
      </c>
      <c r="CA25" s="27">
        <v>8</v>
      </c>
      <c r="CB25" s="27">
        <v>2</v>
      </c>
      <c r="CC25" s="27">
        <v>8</v>
      </c>
      <c r="CD25" s="27"/>
      <c r="CE25" s="8">
        <f t="shared" si="17"/>
        <v>56</v>
      </c>
      <c r="CF25" s="8">
        <f t="shared" si="18"/>
        <v>10</v>
      </c>
      <c r="CG25" s="19">
        <f>IFERROR(INDEX(Settings!$F:$F, MATCH('PROJECT NAME NOV'!$B25 &amp; "-" &amp; 'PROJECT NAME NOV'!$C25, Settings!$H:$H,0)), "")</f>
        <v>81.25</v>
      </c>
      <c r="CH25" s="19">
        <f>IFERROR(INDEX(Settings!$G:$G, MATCH('PROJECT NAME NOV'!$B25 &amp; "-" &amp; 'PROJECT NAME NOV'!$C25, Settings!$H:$H, 0)), "")</f>
        <v>650</v>
      </c>
      <c r="CI25" s="19">
        <f t="shared" si="4"/>
        <v>5362.5</v>
      </c>
      <c r="CJ25" s="19">
        <f t="shared" si="24"/>
        <v>268.125</v>
      </c>
      <c r="CK25" s="19">
        <f t="shared" si="19"/>
        <v>5094.375</v>
      </c>
      <c r="CM25" s="27"/>
      <c r="CN25" s="27"/>
      <c r="CO25" s="27"/>
      <c r="CP25" s="27"/>
      <c r="CQ25" s="27"/>
      <c r="CR25" s="27"/>
      <c r="CS25" s="8">
        <f t="shared" si="5"/>
        <v>0</v>
      </c>
      <c r="CT25" s="8">
        <f t="shared" si="6"/>
        <v>0</v>
      </c>
      <c r="CU25" s="19">
        <f>IFERROR(INDEX(Settings!$F:$F, MATCH('PROJECT NAME NOV'!$B25 &amp; "-" &amp; 'PROJECT NAME NOV'!$C25, Settings!$H:$H,0)), "")</f>
        <v>81.25</v>
      </c>
      <c r="CV25" s="19">
        <f>IFERROR(INDEX(Settings!$G:$G, MATCH('PROJECT NAME NOV'!$B25 &amp; "-" &amp; 'PROJECT NAME NOV'!$C25, Settings!$H:$H, 0)), "")</f>
        <v>650</v>
      </c>
      <c r="CW25" s="19">
        <f t="shared" si="20"/>
        <v>0</v>
      </c>
      <c r="CX25" s="19">
        <f t="shared" si="21"/>
        <v>0</v>
      </c>
      <c r="CY25" s="19">
        <f t="shared" si="7"/>
        <v>0</v>
      </c>
      <c r="DH25" s="86" t="str">
        <f>'Billable Till Date'!B21 &amp; "-" &amp; 'Billable Till Date'!C21</f>
        <v>-</v>
      </c>
    </row>
    <row r="26" spans="2:120" x14ac:dyDescent="0.3">
      <c r="B26" s="3" t="s">
        <v>38</v>
      </c>
      <c r="C26" s="1" t="s">
        <v>29</v>
      </c>
      <c r="D26" s="1" t="s">
        <v>225</v>
      </c>
      <c r="E26" s="4" t="s">
        <v>55</v>
      </c>
      <c r="F26" s="21">
        <v>8</v>
      </c>
      <c r="G26" s="21">
        <v>0</v>
      </c>
      <c r="H26" s="21">
        <v>8</v>
      </c>
      <c r="I26" s="21">
        <v>0</v>
      </c>
      <c r="J26" s="21">
        <v>8</v>
      </c>
      <c r="K26" s="21">
        <v>0</v>
      </c>
      <c r="L26" s="21">
        <v>8</v>
      </c>
      <c r="M26" s="21">
        <v>0</v>
      </c>
      <c r="N26" s="21">
        <v>8</v>
      </c>
      <c r="O26" s="21">
        <v>0</v>
      </c>
      <c r="P26" s="21"/>
      <c r="Q26" s="21"/>
      <c r="R26" s="8">
        <f t="shared" si="0"/>
        <v>40</v>
      </c>
      <c r="S26" s="8">
        <f t="shared" si="1"/>
        <v>0</v>
      </c>
      <c r="T26" s="19">
        <f>IFERROR(INDEX(Settings!$F:$F, MATCH('PROJECT NAME NOV'!$B26 &amp; "-" &amp; 'PROJECT NAME NOV'!$C26, Settings!$H:$H,0)), "")</f>
        <v>81.25</v>
      </c>
      <c r="U26" s="19">
        <f>IFERROR(INDEX(Settings!$G:$G, MATCH('PROJECT NAME NOV'!$B26 &amp; "-" &amp; 'PROJECT NAME NOV'!$C26, Settings!$H:$H, 0)), "")</f>
        <v>650</v>
      </c>
      <c r="V26" s="19">
        <f t="shared" si="2"/>
        <v>3250</v>
      </c>
      <c r="W26" s="19">
        <f t="shared" si="22"/>
        <v>162.5</v>
      </c>
      <c r="X26" s="19">
        <f t="shared" si="8"/>
        <v>3087.5</v>
      </c>
      <c r="Y26" s="21">
        <v>8</v>
      </c>
      <c r="Z26" s="21">
        <v>0</v>
      </c>
      <c r="AA26" s="21">
        <v>8</v>
      </c>
      <c r="AB26" s="21">
        <v>0</v>
      </c>
      <c r="AC26" s="21">
        <v>8</v>
      </c>
      <c r="AD26" s="21">
        <v>0</v>
      </c>
      <c r="AE26" s="21">
        <v>8</v>
      </c>
      <c r="AF26" s="21">
        <v>0</v>
      </c>
      <c r="AG26" s="21">
        <v>8</v>
      </c>
      <c r="AH26" s="21">
        <v>0</v>
      </c>
      <c r="AI26" s="21">
        <v>8</v>
      </c>
      <c r="AJ26" s="21">
        <v>0</v>
      </c>
      <c r="AK26" s="21">
        <v>8</v>
      </c>
      <c r="AL26" s="21">
        <v>0</v>
      </c>
      <c r="AM26" s="44">
        <f>IFERROR(INDEX(Settings!$F:$F, MATCH('PROJECT NAME NOV'!$B26 &amp; "-" &amp; 'PROJECT NAME NOV'!$C26, Settings!$H:$H,0)), "")</f>
        <v>81.25</v>
      </c>
      <c r="AN26" s="44">
        <f>IFERROR(INDEX(Settings!$G:$G, MATCH('PROJECT NAME NOV'!$B26 &amp; "-" &amp; 'PROJECT NAME NOV'!$C26, Settings!$H:$H, 0)), "")</f>
        <v>650</v>
      </c>
      <c r="AO26" s="21">
        <f t="shared" si="9"/>
        <v>56</v>
      </c>
      <c r="AP26" s="21">
        <f t="shared" si="10"/>
        <v>0</v>
      </c>
      <c r="AQ26" s="44">
        <f t="shared" si="11"/>
        <v>4550</v>
      </c>
      <c r="AR26" s="44">
        <f t="shared" si="12"/>
        <v>227.5</v>
      </c>
      <c r="AS26" s="44">
        <f t="shared" si="13"/>
        <v>4322.5</v>
      </c>
      <c r="AT26" s="59"/>
      <c r="AU26" s="21">
        <v>8</v>
      </c>
      <c r="AV26" s="21">
        <v>0</v>
      </c>
      <c r="AW26" s="21">
        <v>8</v>
      </c>
      <c r="AX26" s="21">
        <v>0</v>
      </c>
      <c r="AY26" s="21">
        <v>8</v>
      </c>
      <c r="AZ26" s="21">
        <v>0</v>
      </c>
      <c r="BA26" s="21">
        <v>8</v>
      </c>
      <c r="BB26" s="21">
        <v>0</v>
      </c>
      <c r="BC26" s="21">
        <v>8</v>
      </c>
      <c r="BD26" s="21">
        <v>0</v>
      </c>
      <c r="BE26" s="21">
        <v>8</v>
      </c>
      <c r="BF26" s="28">
        <v>0</v>
      </c>
      <c r="BG26" s="28">
        <v>8</v>
      </c>
      <c r="BH26" s="8">
        <v>0</v>
      </c>
      <c r="BI26" s="8">
        <f t="shared" si="14"/>
        <v>56</v>
      </c>
      <c r="BJ26" s="8">
        <f t="shared" si="15"/>
        <v>0</v>
      </c>
      <c r="BK26" s="19">
        <f>IFERROR(INDEX(Settings!$F:$F, MATCH('PROJECT NAME NOV'!$B26 &amp; "-" &amp; 'PROJECT NAME NOV'!$C26, Settings!$H:$H,0)), "")</f>
        <v>81.25</v>
      </c>
      <c r="BL26" s="19">
        <f>IFERROR(INDEX(Settings!$G:$G, MATCH('PROJECT NAME NOV'!$B26 &amp; "-" &amp; 'PROJECT NAME NOV'!$C26, Settings!$H:$H, 0)), "")</f>
        <v>650</v>
      </c>
      <c r="BM26" s="19">
        <f t="shared" si="3"/>
        <v>4550</v>
      </c>
      <c r="BN26" s="19">
        <f t="shared" si="23"/>
        <v>227.5</v>
      </c>
      <c r="BO26" s="19">
        <f t="shared" si="16"/>
        <v>4322.5</v>
      </c>
      <c r="BP26" s="54"/>
      <c r="BQ26" s="21">
        <v>8</v>
      </c>
      <c r="BR26" s="21">
        <v>0</v>
      </c>
      <c r="BS26" s="27">
        <v>8</v>
      </c>
      <c r="BT26" s="27">
        <v>0</v>
      </c>
      <c r="BU26" s="27">
        <v>8</v>
      </c>
      <c r="BV26" s="27">
        <v>0</v>
      </c>
      <c r="BW26" s="27">
        <v>8</v>
      </c>
      <c r="BX26" s="27">
        <v>0</v>
      </c>
      <c r="BY26" s="27">
        <v>8</v>
      </c>
      <c r="BZ26" s="27">
        <v>0</v>
      </c>
      <c r="CA26" s="27">
        <v>8</v>
      </c>
      <c r="CB26" s="27">
        <v>0</v>
      </c>
      <c r="CC26" s="27">
        <v>8</v>
      </c>
      <c r="CD26" s="27">
        <v>0</v>
      </c>
      <c r="CE26" s="8">
        <f t="shared" si="17"/>
        <v>56</v>
      </c>
      <c r="CF26" s="8">
        <f t="shared" si="18"/>
        <v>0</v>
      </c>
      <c r="CG26" s="19">
        <f>IFERROR(INDEX(Settings!$F:$F, MATCH('PROJECT NAME NOV'!$B26 &amp; "-" &amp; 'PROJECT NAME NOV'!$C26, Settings!$H:$H,0)), "")</f>
        <v>81.25</v>
      </c>
      <c r="CH26" s="19">
        <f>IFERROR(INDEX(Settings!$G:$G, MATCH('PROJECT NAME NOV'!$B26 &amp; "-" &amp; 'PROJECT NAME NOV'!$C26, Settings!$H:$H, 0)), "")</f>
        <v>650</v>
      </c>
      <c r="CI26" s="19">
        <f t="shared" si="4"/>
        <v>4550</v>
      </c>
      <c r="CJ26" s="19">
        <f t="shared" si="24"/>
        <v>227.5</v>
      </c>
      <c r="CK26" s="19">
        <f t="shared" si="19"/>
        <v>4322.5</v>
      </c>
      <c r="CM26" s="27">
        <v>8</v>
      </c>
      <c r="CN26" s="27">
        <v>0</v>
      </c>
      <c r="CO26" s="27">
        <v>8</v>
      </c>
      <c r="CP26" s="27">
        <v>0</v>
      </c>
      <c r="CQ26" s="27"/>
      <c r="CR26" s="27"/>
      <c r="CS26" s="8">
        <f t="shared" si="5"/>
        <v>16</v>
      </c>
      <c r="CT26" s="8">
        <f t="shared" si="6"/>
        <v>0</v>
      </c>
      <c r="CU26" s="19">
        <f>IFERROR(INDEX(Settings!$F:$F, MATCH('PROJECT NAME NOV'!$B26 &amp; "-" &amp; 'PROJECT NAME NOV'!$C26, Settings!$H:$H,0)), "")</f>
        <v>81.25</v>
      </c>
      <c r="CV26" s="19">
        <f>IFERROR(INDEX(Settings!$G:$G, MATCH('PROJECT NAME NOV'!$B26 &amp; "-" &amp; 'PROJECT NAME NOV'!$C26, Settings!$H:$H, 0)), "")</f>
        <v>650</v>
      </c>
      <c r="CW26" s="19">
        <f t="shared" si="20"/>
        <v>1300</v>
      </c>
      <c r="CX26" s="19">
        <f t="shared" si="21"/>
        <v>65</v>
      </c>
      <c r="CY26" s="19">
        <f t="shared" si="7"/>
        <v>1235</v>
      </c>
      <c r="DH26" s="87" t="str">
        <f>'Billable Till Date'!B22 &amp; "-" &amp; 'Billable Till Date'!C22</f>
        <v>-</v>
      </c>
    </row>
    <row r="27" spans="2:120" x14ac:dyDescent="0.3">
      <c r="B27" s="3" t="s">
        <v>38</v>
      </c>
      <c r="C27" s="1" t="s">
        <v>29</v>
      </c>
      <c r="D27" s="1" t="s">
        <v>226</v>
      </c>
      <c r="E27" s="4" t="s">
        <v>57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8</v>
      </c>
      <c r="O27" s="21">
        <v>2</v>
      </c>
      <c r="P27" s="21"/>
      <c r="Q27" s="21"/>
      <c r="R27" s="8">
        <f t="shared" si="0"/>
        <v>8</v>
      </c>
      <c r="S27" s="8">
        <f t="shared" si="1"/>
        <v>2</v>
      </c>
      <c r="T27" s="19">
        <f>IFERROR(INDEX(Settings!$F:$F, MATCH('PROJECT NAME NOV'!$B27 &amp; "-" &amp; 'PROJECT NAME NOV'!$C27, Settings!$H:$H,0)), "")</f>
        <v>81.25</v>
      </c>
      <c r="U27" s="19">
        <f>IFERROR(INDEX(Settings!$G:$G, MATCH('PROJECT NAME NOV'!$B27 &amp; "-" &amp; 'PROJECT NAME NOV'!$C27, Settings!$H:$H, 0)), "")</f>
        <v>650</v>
      </c>
      <c r="V27" s="19">
        <f t="shared" ref="V27:V106" si="25">(R27*T27)+(S27*T27*1.5)</f>
        <v>893.75</v>
      </c>
      <c r="W27" s="19">
        <f t="shared" si="22"/>
        <v>44.6875</v>
      </c>
      <c r="X27" s="19">
        <f t="shared" si="8"/>
        <v>849.0625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8</v>
      </c>
      <c r="AL27" s="21">
        <v>2</v>
      </c>
      <c r="AM27" s="44">
        <f>IFERROR(INDEX(Settings!$F:$F, MATCH('PROJECT NAME NOV'!$B27 &amp; "-" &amp; 'PROJECT NAME NOV'!$C27, Settings!$H:$H,0)), "")</f>
        <v>81.25</v>
      </c>
      <c r="AN27" s="44">
        <f>IFERROR(INDEX(Settings!$G:$G, MATCH('PROJECT NAME NOV'!$B27 &amp; "-" &amp; 'PROJECT NAME NOV'!$C27, Settings!$H:$H, 0)), "")</f>
        <v>650</v>
      </c>
      <c r="AO27" s="21">
        <f t="shared" si="9"/>
        <v>8</v>
      </c>
      <c r="AP27" s="21">
        <f t="shared" si="10"/>
        <v>2</v>
      </c>
      <c r="AQ27" s="44">
        <f t="shared" si="11"/>
        <v>812.5</v>
      </c>
      <c r="AR27" s="44">
        <f t="shared" si="12"/>
        <v>40.625</v>
      </c>
      <c r="AS27" s="44">
        <f t="shared" si="13"/>
        <v>771.875</v>
      </c>
      <c r="AT27" s="59"/>
      <c r="AU27" s="21">
        <v>8</v>
      </c>
      <c r="AV27" s="21">
        <v>2</v>
      </c>
      <c r="AW27" s="21">
        <v>8</v>
      </c>
      <c r="AX27" s="21">
        <v>4</v>
      </c>
      <c r="AY27" s="21">
        <v>8</v>
      </c>
      <c r="AZ27" s="21">
        <v>0</v>
      </c>
      <c r="BA27" s="21">
        <v>8</v>
      </c>
      <c r="BB27" s="21">
        <v>4</v>
      </c>
      <c r="BC27" s="21">
        <v>8</v>
      </c>
      <c r="BD27" s="21">
        <v>4</v>
      </c>
      <c r="BE27" s="21">
        <v>8</v>
      </c>
      <c r="BF27" s="28">
        <v>0</v>
      </c>
      <c r="BG27" s="28">
        <v>8</v>
      </c>
      <c r="BH27" s="8">
        <v>4</v>
      </c>
      <c r="BI27" s="8">
        <f t="shared" si="14"/>
        <v>56</v>
      </c>
      <c r="BJ27" s="8">
        <f t="shared" si="15"/>
        <v>18</v>
      </c>
      <c r="BK27" s="19">
        <f>IFERROR(INDEX(Settings!$F:$F, MATCH('PROJECT NAME NOV'!$B27 &amp; "-" &amp; 'PROJECT NAME NOV'!$C27, Settings!$H:$H,0)), "")</f>
        <v>81.25</v>
      </c>
      <c r="BL27" s="19">
        <f>IFERROR(INDEX(Settings!$G:$G, MATCH('PROJECT NAME NOV'!$B27 &amp; "-" &amp; 'PROJECT NAME NOV'!$C27, Settings!$H:$H, 0)), "")</f>
        <v>650</v>
      </c>
      <c r="BM27" s="19">
        <f t="shared" ref="BM27:BM106" si="26">(BI27*BK27)+(BJ27*BK27*1.5)</f>
        <v>6743.75</v>
      </c>
      <c r="BN27" s="19">
        <f t="shared" si="23"/>
        <v>337.1875</v>
      </c>
      <c r="BO27" s="19">
        <f t="shared" si="16"/>
        <v>6406.5625</v>
      </c>
      <c r="BP27" s="54"/>
      <c r="BQ27" s="21">
        <v>8</v>
      </c>
      <c r="BR27" s="21">
        <v>2</v>
      </c>
      <c r="BS27" s="27">
        <v>8</v>
      </c>
      <c r="BT27" s="27">
        <v>2</v>
      </c>
      <c r="BU27" s="27">
        <v>0</v>
      </c>
      <c r="BV27" s="27">
        <v>0</v>
      </c>
      <c r="BW27" s="27">
        <v>8</v>
      </c>
      <c r="BX27" s="27">
        <v>2</v>
      </c>
      <c r="BY27" s="27">
        <v>8</v>
      </c>
      <c r="BZ27" s="27">
        <v>2</v>
      </c>
      <c r="CA27" s="27">
        <v>8</v>
      </c>
      <c r="CB27" s="27">
        <v>2</v>
      </c>
      <c r="CC27" s="27">
        <v>8</v>
      </c>
      <c r="CD27" s="27"/>
      <c r="CE27" s="8">
        <f t="shared" si="17"/>
        <v>48</v>
      </c>
      <c r="CF27" s="8">
        <f t="shared" si="18"/>
        <v>10</v>
      </c>
      <c r="CG27" s="19">
        <f>IFERROR(INDEX(Settings!$F:$F, MATCH('PROJECT NAME NOV'!$B27 &amp; "-" &amp; 'PROJECT NAME NOV'!$C27, Settings!$H:$H,0)), "")</f>
        <v>81.25</v>
      </c>
      <c r="CH27" s="19">
        <f>IFERROR(INDEX(Settings!$G:$G, MATCH('PROJECT NAME NOV'!$B27 &amp; "-" &amp; 'PROJECT NAME NOV'!$C27, Settings!$H:$H, 0)), "")</f>
        <v>650</v>
      </c>
      <c r="CI27" s="19">
        <f t="shared" ref="CI27:CI106" si="27">(CE27*CG27)+(CF27*CG27*1.5)</f>
        <v>5118.75</v>
      </c>
      <c r="CJ27" s="19">
        <f t="shared" si="24"/>
        <v>255.9375</v>
      </c>
      <c r="CK27" s="19">
        <f t="shared" si="19"/>
        <v>4862.8125</v>
      </c>
      <c r="CM27" s="27">
        <v>8</v>
      </c>
      <c r="CN27" s="27">
        <v>4</v>
      </c>
      <c r="CO27" s="27">
        <v>8</v>
      </c>
      <c r="CP27" s="27">
        <v>4</v>
      </c>
      <c r="CQ27" s="27"/>
      <c r="CR27" s="27"/>
      <c r="CS27" s="8">
        <f t="shared" si="5"/>
        <v>16</v>
      </c>
      <c r="CT27" s="8">
        <f t="shared" si="6"/>
        <v>8</v>
      </c>
      <c r="CU27" s="19">
        <f>IFERROR(INDEX(Settings!$F:$F, MATCH('PROJECT NAME NOV'!$B27 &amp; "-" &amp; 'PROJECT NAME NOV'!$C27, Settings!$H:$H,0)), "")</f>
        <v>81.25</v>
      </c>
      <c r="CV27" s="19">
        <f>IFERROR(INDEX(Settings!$G:$G, MATCH('PROJECT NAME NOV'!$B27 &amp; "-" &amp; 'PROJECT NAME NOV'!$C27, Settings!$H:$H, 0)), "")</f>
        <v>650</v>
      </c>
      <c r="CW27" s="19">
        <f t="shared" si="20"/>
        <v>1950</v>
      </c>
      <c r="CX27" s="19">
        <f t="shared" si="21"/>
        <v>97.5</v>
      </c>
      <c r="CY27" s="19">
        <f t="shared" si="7"/>
        <v>1852.5</v>
      </c>
      <c r="DH27" s="86" t="str">
        <f>'Billable Till Date'!B23 &amp; "-" &amp; 'Billable Till Date'!C23</f>
        <v>-</v>
      </c>
    </row>
    <row r="28" spans="2:120" x14ac:dyDescent="0.3">
      <c r="B28" s="3" t="s">
        <v>38</v>
      </c>
      <c r="C28" s="1" t="s">
        <v>29</v>
      </c>
      <c r="D28" s="1" t="s">
        <v>227</v>
      </c>
      <c r="E28" s="4" t="s">
        <v>58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8</v>
      </c>
      <c r="O28" s="21">
        <v>2</v>
      </c>
      <c r="P28" s="21"/>
      <c r="Q28" s="21"/>
      <c r="R28" s="8">
        <f t="shared" si="0"/>
        <v>8</v>
      </c>
      <c r="S28" s="8">
        <f t="shared" si="1"/>
        <v>2</v>
      </c>
      <c r="T28" s="19">
        <f>IFERROR(INDEX(Settings!$F:$F, MATCH('PROJECT NAME NOV'!$B28 &amp; "-" &amp; 'PROJECT NAME NOV'!$C28, Settings!$H:$H,0)), "")</f>
        <v>81.25</v>
      </c>
      <c r="U28" s="19">
        <f>IFERROR(INDEX(Settings!$G:$G, MATCH('PROJECT NAME NOV'!$B28 &amp; "-" &amp; 'PROJECT NAME NOV'!$C28, Settings!$H:$H, 0)), "")</f>
        <v>650</v>
      </c>
      <c r="V28" s="19">
        <f t="shared" si="25"/>
        <v>893.75</v>
      </c>
      <c r="W28" s="19">
        <f t="shared" si="22"/>
        <v>44.6875</v>
      </c>
      <c r="X28" s="19">
        <f t="shared" si="8"/>
        <v>849.0625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8</v>
      </c>
      <c r="AL28" s="21">
        <v>2</v>
      </c>
      <c r="AM28" s="44">
        <f>IFERROR(INDEX(Settings!$F:$F, MATCH('PROJECT NAME NOV'!$B28 &amp; "-" &amp; 'PROJECT NAME NOV'!$C28, Settings!$H:$H,0)), "")</f>
        <v>81.25</v>
      </c>
      <c r="AN28" s="44">
        <f>IFERROR(INDEX(Settings!$G:$G, MATCH('PROJECT NAME NOV'!$B28 &amp; "-" &amp; 'PROJECT NAME NOV'!$C28, Settings!$H:$H, 0)), "")</f>
        <v>650</v>
      </c>
      <c r="AO28" s="21">
        <f t="shared" si="9"/>
        <v>8</v>
      </c>
      <c r="AP28" s="21">
        <f t="shared" si="10"/>
        <v>2</v>
      </c>
      <c r="AQ28" s="44">
        <f t="shared" si="11"/>
        <v>812.5</v>
      </c>
      <c r="AR28" s="44">
        <f t="shared" si="12"/>
        <v>40.625</v>
      </c>
      <c r="AS28" s="44">
        <f t="shared" si="13"/>
        <v>771.875</v>
      </c>
      <c r="AT28" s="59"/>
      <c r="AU28" s="21">
        <v>8</v>
      </c>
      <c r="AV28" s="21">
        <v>2</v>
      </c>
      <c r="AW28" s="21">
        <v>8</v>
      </c>
      <c r="AX28" s="21">
        <v>4</v>
      </c>
      <c r="AY28" s="21">
        <v>8</v>
      </c>
      <c r="AZ28" s="21">
        <v>0</v>
      </c>
      <c r="BA28" s="21">
        <v>8</v>
      </c>
      <c r="BB28" s="21">
        <v>4</v>
      </c>
      <c r="BC28" s="21">
        <v>8</v>
      </c>
      <c r="BD28" s="21">
        <v>4</v>
      </c>
      <c r="BE28" s="21">
        <v>8</v>
      </c>
      <c r="BF28" s="28">
        <v>0</v>
      </c>
      <c r="BG28" s="27">
        <v>0</v>
      </c>
      <c r="BH28" s="8">
        <v>0</v>
      </c>
      <c r="BI28" s="8">
        <f t="shared" si="14"/>
        <v>48</v>
      </c>
      <c r="BJ28" s="8">
        <f t="shared" si="15"/>
        <v>14</v>
      </c>
      <c r="BK28" s="19">
        <f>IFERROR(INDEX(Settings!$F:$F, MATCH('PROJECT NAME NOV'!$B28 &amp; "-" &amp; 'PROJECT NAME NOV'!$C28, Settings!$H:$H,0)), "")</f>
        <v>81.25</v>
      </c>
      <c r="BL28" s="19">
        <f>IFERROR(INDEX(Settings!$G:$G, MATCH('PROJECT NAME NOV'!$B28 &amp; "-" &amp; 'PROJECT NAME NOV'!$C28, Settings!$H:$H, 0)), "")</f>
        <v>650</v>
      </c>
      <c r="BM28" s="19">
        <f t="shared" si="26"/>
        <v>5606.25</v>
      </c>
      <c r="BN28" s="19">
        <f t="shared" si="23"/>
        <v>280.3125</v>
      </c>
      <c r="BO28" s="19">
        <f t="shared" si="16"/>
        <v>5325.9375</v>
      </c>
      <c r="BP28" s="54"/>
      <c r="BQ28" s="21">
        <v>8</v>
      </c>
      <c r="BR28" s="21">
        <v>0</v>
      </c>
      <c r="BS28" s="27">
        <v>0</v>
      </c>
      <c r="BT28" s="27">
        <v>0</v>
      </c>
      <c r="BU28" s="27">
        <v>8</v>
      </c>
      <c r="BV28" s="27">
        <v>0</v>
      </c>
      <c r="BW28" s="27">
        <v>8</v>
      </c>
      <c r="BX28" s="27">
        <v>2</v>
      </c>
      <c r="BY28" s="27">
        <v>8</v>
      </c>
      <c r="BZ28" s="27">
        <v>2</v>
      </c>
      <c r="CA28" s="27">
        <v>8</v>
      </c>
      <c r="CB28" s="27">
        <v>2</v>
      </c>
      <c r="CC28" s="27">
        <v>8</v>
      </c>
      <c r="CD28" s="27"/>
      <c r="CE28" s="8">
        <f t="shared" si="17"/>
        <v>48</v>
      </c>
      <c r="CF28" s="8">
        <f t="shared" si="18"/>
        <v>6</v>
      </c>
      <c r="CG28" s="19">
        <f>IFERROR(INDEX(Settings!$F:$F, MATCH('PROJECT NAME NOV'!$B28 &amp; "-" &amp; 'PROJECT NAME NOV'!$C28, Settings!$H:$H,0)), "")</f>
        <v>81.25</v>
      </c>
      <c r="CH28" s="19">
        <f>IFERROR(INDEX(Settings!$G:$G, MATCH('PROJECT NAME NOV'!$B28 &amp; "-" &amp; 'PROJECT NAME NOV'!$C28, Settings!$H:$H, 0)), "")</f>
        <v>650</v>
      </c>
      <c r="CI28" s="19">
        <f t="shared" si="27"/>
        <v>4631.25</v>
      </c>
      <c r="CJ28" s="19">
        <f t="shared" si="24"/>
        <v>231.5625</v>
      </c>
      <c r="CK28" s="19">
        <f t="shared" si="19"/>
        <v>4399.6875</v>
      </c>
      <c r="CM28" s="27">
        <v>8</v>
      </c>
      <c r="CN28" s="27">
        <v>4</v>
      </c>
      <c r="CO28" s="27">
        <v>8</v>
      </c>
      <c r="CP28" s="27">
        <v>4</v>
      </c>
      <c r="CQ28" s="27"/>
      <c r="CR28" s="27"/>
      <c r="CS28" s="8">
        <f t="shared" si="5"/>
        <v>16</v>
      </c>
      <c r="CT28" s="8">
        <f t="shared" si="6"/>
        <v>8</v>
      </c>
      <c r="CU28" s="19">
        <f>IFERROR(INDEX(Settings!$F:$F, MATCH('PROJECT NAME NOV'!$B28 &amp; "-" &amp; 'PROJECT NAME NOV'!$C28, Settings!$H:$H,0)), "")</f>
        <v>81.25</v>
      </c>
      <c r="CV28" s="19">
        <f>IFERROR(INDEX(Settings!$G:$G, MATCH('PROJECT NAME NOV'!$B28 &amp; "-" &amp; 'PROJECT NAME NOV'!$C28, Settings!$H:$H, 0)), "")</f>
        <v>650</v>
      </c>
      <c r="CW28" s="19">
        <f t="shared" si="20"/>
        <v>1950</v>
      </c>
      <c r="CX28" s="19">
        <f t="shared" si="21"/>
        <v>97.5</v>
      </c>
      <c r="CY28" s="19">
        <f t="shared" si="7"/>
        <v>1852.5</v>
      </c>
      <c r="DH28" s="87" t="str">
        <f>'Billable Till Date'!B24 &amp; "-" &amp; 'Billable Till Date'!C24</f>
        <v>-</v>
      </c>
    </row>
    <row r="29" spans="2:120" x14ac:dyDescent="0.3">
      <c r="B29" s="3" t="s">
        <v>38</v>
      </c>
      <c r="C29" s="1" t="s">
        <v>30</v>
      </c>
      <c r="D29" s="1" t="s">
        <v>228</v>
      </c>
      <c r="E29" s="4" t="s">
        <v>128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8"/>
      <c r="S29" s="8"/>
      <c r="T29" s="19"/>
      <c r="U29" s="19"/>
      <c r="V29" s="19"/>
      <c r="W29" s="19"/>
      <c r="X29" s="19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44">
        <f>IFERROR(INDEX(Settings!$F:$F, MATCH('PROJECT NAME NOV'!$B29 &amp; "-" &amp; 'PROJECT NAME NOV'!$C29, Settings!$H:$H,0)), "")</f>
        <v>81.25</v>
      </c>
      <c r="AN29" s="44">
        <f>IFERROR(INDEX(Settings!$G:$G, MATCH('PROJECT NAME NOV'!$B29 &amp; "-" &amp; 'PROJECT NAME NOV'!$C29, Settings!$H:$H, 0)), "")</f>
        <v>650</v>
      </c>
      <c r="AO29" s="21">
        <f t="shared" si="9"/>
        <v>0</v>
      </c>
      <c r="AP29" s="21">
        <f t="shared" si="10"/>
        <v>0</v>
      </c>
      <c r="AQ29" s="44">
        <f t="shared" si="11"/>
        <v>0</v>
      </c>
      <c r="AR29" s="44">
        <f t="shared" si="12"/>
        <v>0</v>
      </c>
      <c r="AS29" s="44">
        <f t="shared" si="13"/>
        <v>0</v>
      </c>
      <c r="AT29" s="59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8"/>
      <c r="BG29" s="27"/>
      <c r="BH29" s="8">
        <v>0</v>
      </c>
      <c r="BI29" s="8">
        <f t="shared" si="14"/>
        <v>0</v>
      </c>
      <c r="BJ29" s="8">
        <f t="shared" si="15"/>
        <v>0</v>
      </c>
      <c r="BK29" s="19">
        <f>IFERROR(INDEX(Settings!$F:$F, MATCH('PROJECT NAME NOV'!$B29 &amp; "-" &amp; 'PROJECT NAME NOV'!$C29, Settings!$H:$H,0)), "")</f>
        <v>81.25</v>
      </c>
      <c r="BL29" s="19">
        <f>IFERROR(INDEX(Settings!$G:$G, MATCH('PROJECT NAME NOV'!$B29 &amp; "-" &amp; 'PROJECT NAME NOV'!$C29, Settings!$H:$H, 0)), "")</f>
        <v>650</v>
      </c>
      <c r="BM29" s="19">
        <f t="shared" si="26"/>
        <v>0</v>
      </c>
      <c r="BN29" s="19">
        <f t="shared" si="23"/>
        <v>0</v>
      </c>
      <c r="BO29" s="19">
        <f t="shared" si="16"/>
        <v>0</v>
      </c>
      <c r="BP29" s="54"/>
      <c r="BQ29" s="21">
        <v>8</v>
      </c>
      <c r="BR29" s="21">
        <v>2</v>
      </c>
      <c r="BS29" s="27">
        <v>8</v>
      </c>
      <c r="BT29" s="27">
        <v>2</v>
      </c>
      <c r="BU29" s="27">
        <v>8</v>
      </c>
      <c r="BV29" s="27">
        <v>0</v>
      </c>
      <c r="BW29" s="27">
        <v>8</v>
      </c>
      <c r="BX29" s="27">
        <v>2</v>
      </c>
      <c r="BY29" s="27">
        <v>8</v>
      </c>
      <c r="BZ29" s="27">
        <v>2</v>
      </c>
      <c r="CA29" s="27">
        <v>8</v>
      </c>
      <c r="CB29" s="27">
        <v>2</v>
      </c>
      <c r="CC29" s="27">
        <v>8</v>
      </c>
      <c r="CD29" s="27"/>
      <c r="CE29" s="8">
        <f t="shared" ref="CE29" si="28">SUM(BQ29,BS29,BU29,BW29,BY29,CA29,CC29)</f>
        <v>56</v>
      </c>
      <c r="CF29" s="8">
        <f t="shared" ref="CF29" si="29">SUM(BR29,BT29,BV29,BX29,BZ29,CB29,CD29)</f>
        <v>10</v>
      </c>
      <c r="CG29" s="19">
        <f>IFERROR(INDEX(Settings!$F:$F, MATCH('PROJECT NAME NOV'!$B29 &amp; "-" &amp; 'PROJECT NAME NOV'!$C29, Settings!$H:$H,0)), "")</f>
        <v>81.25</v>
      </c>
      <c r="CH29" s="19">
        <f>IFERROR(INDEX(Settings!$G:$G, MATCH('PROJECT NAME NOV'!$B29 &amp; "-" &amp; 'PROJECT NAME NOV'!$C29, Settings!$H:$H, 0)), "")</f>
        <v>650</v>
      </c>
      <c r="CI29" s="19">
        <f t="shared" ref="CI29" si="30">(CE29*CG29)+(CF29*CG29*1.5)</f>
        <v>5768.75</v>
      </c>
      <c r="CJ29" s="19">
        <f t="shared" ref="CJ29" si="31">CI29*5%</f>
        <v>288.4375</v>
      </c>
      <c r="CK29" s="19">
        <f t="shared" ref="CK29" si="32">CI29-CJ29</f>
        <v>5480.3125</v>
      </c>
      <c r="CM29" s="27">
        <v>8</v>
      </c>
      <c r="CN29" s="27">
        <v>4</v>
      </c>
      <c r="CO29" s="27">
        <v>8</v>
      </c>
      <c r="CP29" s="27">
        <v>4</v>
      </c>
      <c r="CQ29" s="27"/>
      <c r="CR29" s="27"/>
      <c r="CS29" s="8">
        <f t="shared" si="5"/>
        <v>16</v>
      </c>
      <c r="CT29" s="8">
        <f t="shared" si="6"/>
        <v>8</v>
      </c>
      <c r="CU29" s="19">
        <f>IFERROR(INDEX(Settings!$F:$F, MATCH('PROJECT NAME NOV'!$B29 &amp; "-" &amp; 'PROJECT NAME NOV'!$C29, Settings!$H:$H,0)), "")</f>
        <v>81.25</v>
      </c>
      <c r="CV29" s="19">
        <f>IFERROR(INDEX(Settings!$G:$G, MATCH('PROJECT NAME NOV'!$B29 &amp; "-" &amp; 'PROJECT NAME NOV'!$C29, Settings!$H:$H, 0)), "")</f>
        <v>650</v>
      </c>
      <c r="CW29" s="19">
        <f t="shared" si="20"/>
        <v>1950</v>
      </c>
      <c r="CX29" s="19">
        <f t="shared" ref="CX29" si="33">CW29*5%</f>
        <v>97.5</v>
      </c>
      <c r="CY29" s="19">
        <f t="shared" ref="CY29" si="34">CW29-CX29</f>
        <v>1852.5</v>
      </c>
      <c r="DH29" s="87"/>
    </row>
    <row r="30" spans="2:120" x14ac:dyDescent="0.3">
      <c r="B30" s="3" t="s">
        <v>38</v>
      </c>
      <c r="C30" s="1" t="s">
        <v>30</v>
      </c>
      <c r="D30" s="1" t="s">
        <v>229</v>
      </c>
      <c r="E30" s="4" t="s">
        <v>179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8"/>
      <c r="S30" s="8"/>
      <c r="T30" s="19"/>
      <c r="U30" s="19"/>
      <c r="V30" s="19"/>
      <c r="W30" s="19"/>
      <c r="X30" s="19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44"/>
      <c r="AN30" s="44"/>
      <c r="AO30" s="21"/>
      <c r="AP30" s="21"/>
      <c r="AQ30" s="44"/>
      <c r="AR30" s="44"/>
      <c r="AS30" s="44"/>
      <c r="AT30" s="59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8"/>
      <c r="BG30" s="27"/>
      <c r="BH30" s="8"/>
      <c r="BI30" s="8"/>
      <c r="BJ30" s="8"/>
      <c r="BK30" s="19"/>
      <c r="BL30" s="19"/>
      <c r="BM30" s="19"/>
      <c r="BN30" s="19"/>
      <c r="BO30" s="19"/>
      <c r="BP30" s="54"/>
      <c r="BQ30" s="21"/>
      <c r="BR30" s="21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8"/>
      <c r="CF30" s="8"/>
      <c r="CG30" s="19"/>
      <c r="CH30" s="19"/>
      <c r="CI30" s="19"/>
      <c r="CJ30" s="19"/>
      <c r="CK30" s="19"/>
      <c r="CM30" s="27">
        <v>8</v>
      </c>
      <c r="CN30" s="27">
        <v>4</v>
      </c>
      <c r="CO30" s="27">
        <v>8</v>
      </c>
      <c r="CP30" s="27">
        <v>4</v>
      </c>
      <c r="CQ30" s="27"/>
      <c r="CR30" s="27"/>
      <c r="CS30" s="8">
        <f t="shared" si="5"/>
        <v>16</v>
      </c>
      <c r="CT30" s="8">
        <f t="shared" si="6"/>
        <v>8</v>
      </c>
      <c r="CU30" s="19">
        <f>IFERROR(INDEX(Settings!$F:$F, MATCH('PROJECT NAME NOV'!$B30 &amp; "-" &amp; 'PROJECT NAME NOV'!$C30, Settings!$H:$H,0)), "")</f>
        <v>81.25</v>
      </c>
      <c r="CV30" s="19">
        <f>IFERROR(INDEX(Settings!$G:$G, MATCH('PROJECT NAME NOV'!$B30 &amp; "-" &amp; 'PROJECT NAME NOV'!$C30, Settings!$H:$H, 0)), "")</f>
        <v>650</v>
      </c>
      <c r="CW30" s="19">
        <f t="shared" si="20"/>
        <v>1950</v>
      </c>
      <c r="CX30" s="19">
        <f t="shared" ref="CX30:CX31" si="35">CW30*5%</f>
        <v>97.5</v>
      </c>
      <c r="CY30" s="19">
        <f t="shared" ref="CY30:CY31" si="36">CW30-CX30</f>
        <v>1852.5</v>
      </c>
      <c r="DH30" s="87"/>
    </row>
    <row r="31" spans="2:120" x14ac:dyDescent="0.3">
      <c r="B31" s="3" t="s">
        <v>38</v>
      </c>
      <c r="C31" s="1" t="s">
        <v>30</v>
      </c>
      <c r="D31" s="1" t="s">
        <v>230</v>
      </c>
      <c r="E31" s="4" t="s">
        <v>180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8"/>
      <c r="S31" s="8"/>
      <c r="T31" s="19"/>
      <c r="U31" s="19"/>
      <c r="V31" s="19"/>
      <c r="W31" s="19"/>
      <c r="X31" s="19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44"/>
      <c r="AN31" s="44"/>
      <c r="AO31" s="21"/>
      <c r="AP31" s="21"/>
      <c r="AQ31" s="44"/>
      <c r="AR31" s="44"/>
      <c r="AS31" s="44"/>
      <c r="AT31" s="59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8"/>
      <c r="BG31" s="27"/>
      <c r="BH31" s="8"/>
      <c r="BI31" s="8"/>
      <c r="BJ31" s="8"/>
      <c r="BK31" s="19"/>
      <c r="BL31" s="19"/>
      <c r="BM31" s="19"/>
      <c r="BN31" s="19"/>
      <c r="BO31" s="19"/>
      <c r="BP31" s="54"/>
      <c r="BQ31" s="21"/>
      <c r="BR31" s="21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8"/>
      <c r="CF31" s="8"/>
      <c r="CG31" s="19"/>
      <c r="CH31" s="19"/>
      <c r="CI31" s="19"/>
      <c r="CJ31" s="19"/>
      <c r="CK31" s="19"/>
      <c r="CM31" s="27">
        <v>8</v>
      </c>
      <c r="CN31" s="27">
        <v>4</v>
      </c>
      <c r="CO31" s="27">
        <v>8</v>
      </c>
      <c r="CP31" s="27">
        <v>4</v>
      </c>
      <c r="CQ31" s="27"/>
      <c r="CR31" s="27"/>
      <c r="CS31" s="8">
        <f t="shared" si="5"/>
        <v>16</v>
      </c>
      <c r="CT31" s="8">
        <f t="shared" si="6"/>
        <v>8</v>
      </c>
      <c r="CU31" s="19">
        <f>IFERROR(INDEX(Settings!$F:$F, MATCH('PROJECT NAME NOV'!$B31 &amp; "-" &amp; 'PROJECT NAME NOV'!$C31, Settings!$H:$H,0)), "")</f>
        <v>81.25</v>
      </c>
      <c r="CV31" s="19">
        <f>IFERROR(INDEX(Settings!$G:$G, MATCH('PROJECT NAME NOV'!$B31 &amp; "-" &amp; 'PROJECT NAME NOV'!$C31, Settings!$H:$H, 0)), "")</f>
        <v>650</v>
      </c>
      <c r="CW31" s="19">
        <f t="shared" si="20"/>
        <v>1950</v>
      </c>
      <c r="CX31" s="19">
        <f t="shared" si="35"/>
        <v>97.5</v>
      </c>
      <c r="CY31" s="19">
        <f t="shared" si="36"/>
        <v>1852.5</v>
      </c>
      <c r="DH31" s="87"/>
    </row>
    <row r="32" spans="2:120" x14ac:dyDescent="0.3">
      <c r="B32" s="3" t="s">
        <v>38</v>
      </c>
      <c r="C32" s="1" t="s">
        <v>30</v>
      </c>
      <c r="D32" s="1" t="s">
        <v>231</v>
      </c>
      <c r="E32" s="4" t="s">
        <v>181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8"/>
      <c r="S32" s="8"/>
      <c r="T32" s="19"/>
      <c r="U32" s="19"/>
      <c r="V32" s="19"/>
      <c r="W32" s="19"/>
      <c r="X32" s="19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44"/>
      <c r="AN32" s="44"/>
      <c r="AO32" s="21"/>
      <c r="AP32" s="21"/>
      <c r="AQ32" s="44"/>
      <c r="AR32" s="44"/>
      <c r="AS32" s="44"/>
      <c r="AT32" s="59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8"/>
      <c r="BG32" s="27"/>
      <c r="BH32" s="8"/>
      <c r="BI32" s="8"/>
      <c r="BJ32" s="8"/>
      <c r="BK32" s="19"/>
      <c r="BL32" s="19"/>
      <c r="BM32" s="19"/>
      <c r="BN32" s="19"/>
      <c r="BO32" s="19"/>
      <c r="BP32" s="54"/>
      <c r="BQ32" s="21"/>
      <c r="BR32" s="21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8"/>
      <c r="CF32" s="8"/>
      <c r="CG32" s="19"/>
      <c r="CH32" s="19"/>
      <c r="CI32" s="19"/>
      <c r="CJ32" s="19"/>
      <c r="CK32" s="19"/>
      <c r="CM32" s="27">
        <v>8</v>
      </c>
      <c r="CN32" s="27">
        <v>4</v>
      </c>
      <c r="CO32" s="27">
        <v>8</v>
      </c>
      <c r="CP32" s="27">
        <v>4</v>
      </c>
      <c r="CQ32" s="27"/>
      <c r="CR32" s="27"/>
      <c r="CS32" s="8">
        <f t="shared" si="5"/>
        <v>16</v>
      </c>
      <c r="CT32" s="8">
        <f t="shared" si="6"/>
        <v>8</v>
      </c>
      <c r="CU32" s="19">
        <f>IFERROR(INDEX(Settings!$F:$F, MATCH('PROJECT NAME NOV'!$B32 &amp; "-" &amp; 'PROJECT NAME NOV'!$C32, Settings!$H:$H,0)), "")</f>
        <v>81.25</v>
      </c>
      <c r="CV32" s="19">
        <f>IFERROR(INDEX(Settings!$G:$G, MATCH('PROJECT NAME NOV'!$B32 &amp; "-" &amp; 'PROJECT NAME NOV'!$C32, Settings!$H:$H, 0)), "")</f>
        <v>650</v>
      </c>
      <c r="CW32" s="19">
        <f t="shared" si="20"/>
        <v>1950</v>
      </c>
      <c r="CX32" s="19">
        <f t="shared" ref="CX32" si="37">CW32*5%</f>
        <v>97.5</v>
      </c>
      <c r="CY32" s="19">
        <f t="shared" ref="CY32" si="38">CW32-CX32</f>
        <v>1852.5</v>
      </c>
      <c r="DH32" s="87"/>
    </row>
    <row r="33" spans="2:112" x14ac:dyDescent="0.3">
      <c r="B33" s="3" t="s">
        <v>38</v>
      </c>
      <c r="C33" s="1" t="s">
        <v>19</v>
      </c>
      <c r="D33" s="1" t="s">
        <v>232</v>
      </c>
      <c r="E33" s="4" t="s">
        <v>178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8"/>
      <c r="S33" s="8"/>
      <c r="T33" s="19"/>
      <c r="U33" s="19"/>
      <c r="V33" s="19"/>
      <c r="W33" s="19"/>
      <c r="X33" s="19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44"/>
      <c r="AN33" s="44"/>
      <c r="AO33" s="21"/>
      <c r="AP33" s="21"/>
      <c r="AQ33" s="44"/>
      <c r="AR33" s="44"/>
      <c r="AS33" s="44"/>
      <c r="AT33" s="59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8"/>
      <c r="BG33" s="27"/>
      <c r="BH33" s="8"/>
      <c r="BI33" s="8"/>
      <c r="BJ33" s="8"/>
      <c r="BK33" s="19"/>
      <c r="BL33" s="19"/>
      <c r="BM33" s="19"/>
      <c r="BN33" s="19"/>
      <c r="BO33" s="19"/>
      <c r="BP33" s="54"/>
      <c r="BQ33" s="21"/>
      <c r="BR33" s="21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8"/>
      <c r="CF33" s="8"/>
      <c r="CG33" s="19"/>
      <c r="CH33" s="19"/>
      <c r="CI33" s="19"/>
      <c r="CJ33" s="19"/>
      <c r="CK33" s="123"/>
      <c r="CM33" s="27">
        <v>8</v>
      </c>
      <c r="CN33" s="27">
        <v>4</v>
      </c>
      <c r="CO33" s="27">
        <v>8</v>
      </c>
      <c r="CP33" s="27">
        <v>4</v>
      </c>
      <c r="CQ33" s="27"/>
      <c r="CR33" s="27"/>
      <c r="CS33" s="8">
        <f t="shared" si="5"/>
        <v>16</v>
      </c>
      <c r="CT33" s="8">
        <f t="shared" si="6"/>
        <v>8</v>
      </c>
      <c r="CU33" s="19">
        <f>IFERROR(INDEX(Settings!$F:$F, MATCH('PROJECT NAME NOV'!$B33 &amp; "-" &amp; 'PROJECT NAME NOV'!$C33, Settings!$H:$H,0)), "")</f>
        <v>106.25</v>
      </c>
      <c r="CV33" s="19">
        <f>IFERROR(INDEX(Settings!$G:$G, MATCH('PROJECT NAME NOV'!$B33 &amp; "-" &amp; 'PROJECT NAME NOV'!$C33, Settings!$H:$H, 0)), "")</f>
        <v>850</v>
      </c>
      <c r="CW33" s="19">
        <f t="shared" si="20"/>
        <v>2550</v>
      </c>
      <c r="CX33" s="19">
        <f t="shared" ref="CX33" si="39">CW33*5%</f>
        <v>127.5</v>
      </c>
      <c r="CY33" s="19">
        <f t="shared" ref="CY33" si="40">CW33-CX33</f>
        <v>2422.5</v>
      </c>
      <c r="DH33" s="87"/>
    </row>
    <row r="34" spans="2:112" x14ac:dyDescent="0.3">
      <c r="B34" s="174"/>
      <c r="C34" s="175"/>
      <c r="D34" s="175"/>
      <c r="E34" s="175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7"/>
      <c r="S34" s="177"/>
      <c r="T34" s="178"/>
      <c r="U34" s="178"/>
      <c r="V34" s="178"/>
      <c r="W34" s="178"/>
      <c r="X34" s="178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80"/>
      <c r="AN34" s="180"/>
      <c r="AO34" s="176"/>
      <c r="AP34" s="176"/>
      <c r="AQ34" s="180"/>
      <c r="AR34" s="180"/>
      <c r="AS34" s="180"/>
      <c r="AT34" s="180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82"/>
      <c r="BG34" s="181"/>
      <c r="BH34" s="177"/>
      <c r="BI34" s="177"/>
      <c r="BJ34" s="177"/>
      <c r="BK34" s="178"/>
      <c r="BL34" s="178"/>
      <c r="BM34" s="178"/>
      <c r="BN34" s="178"/>
      <c r="BO34" s="178"/>
      <c r="BP34" s="178"/>
      <c r="BQ34" s="176"/>
      <c r="BR34" s="176"/>
      <c r="BS34" s="181"/>
      <c r="BT34" s="181"/>
      <c r="BU34" s="181"/>
      <c r="BV34" s="181"/>
      <c r="BW34" s="181"/>
      <c r="BX34" s="181"/>
      <c r="BY34" s="181"/>
      <c r="BZ34" s="181"/>
      <c r="CA34" s="181"/>
      <c r="CB34" s="181"/>
      <c r="CC34" s="181"/>
      <c r="CD34" s="181"/>
      <c r="CE34" s="177"/>
      <c r="CF34" s="177"/>
      <c r="CG34" s="178"/>
      <c r="CH34" s="178"/>
      <c r="CI34" s="178"/>
      <c r="CJ34" s="178"/>
      <c r="CK34" s="183"/>
      <c r="CL34" s="173"/>
      <c r="CM34" s="181"/>
      <c r="CN34" s="181"/>
      <c r="CO34" s="181"/>
      <c r="CP34" s="181"/>
      <c r="CQ34" s="181"/>
      <c r="CR34" s="181"/>
      <c r="CS34" s="177"/>
      <c r="CT34" s="177"/>
      <c r="CU34" s="178"/>
      <c r="CV34" s="178"/>
      <c r="CW34" s="178"/>
      <c r="CX34" s="178"/>
      <c r="CY34" s="178"/>
      <c r="DH34" s="87"/>
    </row>
    <row r="35" spans="2:112" x14ac:dyDescent="0.3">
      <c r="B35" s="3" t="s">
        <v>65</v>
      </c>
      <c r="C35" s="1" t="s">
        <v>28</v>
      </c>
      <c r="D35" s="4"/>
      <c r="E35" s="4" t="s">
        <v>65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8">
        <f t="shared" ref="R35:R54" si="41">SUM(F35,H35,J35,L35,N35,P35)</f>
        <v>0</v>
      </c>
      <c r="S35" s="8">
        <f t="shared" ref="S35:S54" si="42">SUM(G35,I35,K35,M35,O35,Q35)</f>
        <v>0</v>
      </c>
      <c r="T35" s="19">
        <f>IFERROR(INDEX(Settings!$F:$F, MATCH('PROJECT NAME NOV'!$B35 &amp; "-" &amp; 'PROJECT NAME NOV'!$C35, Settings!$H:$H,0)), "")</f>
        <v>112.5</v>
      </c>
      <c r="U35" s="19">
        <f>IFERROR(INDEX(Settings!$G:$G, MATCH('PROJECT NAME NOV'!$B35 &amp; "-" &amp; 'PROJECT NAME NOV'!$C35, Settings!$H:$H, 0)), "")</f>
        <v>900</v>
      </c>
      <c r="V35" s="19">
        <f t="shared" si="25"/>
        <v>0</v>
      </c>
      <c r="W35" s="19">
        <f t="shared" si="22"/>
        <v>0</v>
      </c>
      <c r="X35" s="19">
        <f t="shared" si="8"/>
        <v>0</v>
      </c>
      <c r="Y35" s="21"/>
      <c r="Z35" s="21"/>
      <c r="AA35" s="21"/>
      <c r="AB35" s="21"/>
      <c r="AC35" s="21"/>
      <c r="AD35" s="21"/>
      <c r="AE35" s="21"/>
      <c r="AF35" s="21">
        <v>0</v>
      </c>
      <c r="AG35" s="21"/>
      <c r="AH35" s="21"/>
      <c r="AI35" s="21"/>
      <c r="AJ35" s="21"/>
      <c r="AK35" s="21"/>
      <c r="AL35" s="21"/>
      <c r="AM35" s="44">
        <f>IFERROR(INDEX(Settings!$F:$F, MATCH('PROJECT NAME NOV'!$B35 &amp; "-" &amp; 'PROJECT NAME NOV'!$C35, Settings!$H:$H,0)), "")</f>
        <v>112.5</v>
      </c>
      <c r="AN35" s="44">
        <f>IFERROR(INDEX(Settings!$G:$G, MATCH('PROJECT NAME NOV'!$B35 &amp; "-" &amp; 'PROJECT NAME NOV'!$C35, Settings!$H:$H, 0)), "")</f>
        <v>900</v>
      </c>
      <c r="AO35" s="21">
        <f t="shared" si="9"/>
        <v>0</v>
      </c>
      <c r="AP35" s="21">
        <f t="shared" si="10"/>
        <v>0</v>
      </c>
      <c r="AQ35" s="44">
        <f t="shared" si="11"/>
        <v>0</v>
      </c>
      <c r="AR35" s="44">
        <f t="shared" si="12"/>
        <v>0</v>
      </c>
      <c r="AS35" s="44">
        <f t="shared" si="13"/>
        <v>0</v>
      </c>
      <c r="AT35" s="59"/>
      <c r="AU35" s="21">
        <v>0</v>
      </c>
      <c r="AV35" s="21">
        <v>0</v>
      </c>
      <c r="AW35" s="21">
        <v>8</v>
      </c>
      <c r="AX35" s="21">
        <v>0</v>
      </c>
      <c r="AY35" s="21">
        <v>8</v>
      </c>
      <c r="AZ35" s="21">
        <v>0</v>
      </c>
      <c r="BA35" s="21">
        <v>8</v>
      </c>
      <c r="BB35" s="21">
        <v>4</v>
      </c>
      <c r="BC35" s="21">
        <v>8</v>
      </c>
      <c r="BD35" s="21">
        <v>6</v>
      </c>
      <c r="BE35" s="21">
        <v>8</v>
      </c>
      <c r="BF35" s="27">
        <v>6</v>
      </c>
      <c r="BG35" s="27">
        <v>8</v>
      </c>
      <c r="BH35" s="21">
        <v>0</v>
      </c>
      <c r="BI35" s="8">
        <f t="shared" si="14"/>
        <v>48</v>
      </c>
      <c r="BJ35" s="8">
        <f t="shared" si="15"/>
        <v>16</v>
      </c>
      <c r="BK35" s="19">
        <f>IFERROR(INDEX(Settings!$F:$F, MATCH('PROJECT NAME NOV'!$B35 &amp; "-" &amp; 'PROJECT NAME NOV'!$C35, Settings!$H:$H,0)), "")</f>
        <v>112.5</v>
      </c>
      <c r="BL35" s="19">
        <f>IFERROR(INDEX(Settings!$G:$G, MATCH('PROJECT NAME NOV'!$B35 &amp; "-" &amp; 'PROJECT NAME NOV'!$C35, Settings!$H:$H, 0)), "")</f>
        <v>900</v>
      </c>
      <c r="BM35" s="19">
        <f t="shared" si="26"/>
        <v>8100</v>
      </c>
      <c r="BN35" s="19">
        <f t="shared" si="23"/>
        <v>405</v>
      </c>
      <c r="BO35" s="19">
        <f t="shared" si="16"/>
        <v>7695</v>
      </c>
      <c r="BP35" s="54"/>
      <c r="BQ35" s="21">
        <v>8</v>
      </c>
      <c r="BR35" s="21">
        <v>4</v>
      </c>
      <c r="BS35" s="27">
        <v>8</v>
      </c>
      <c r="BT35" s="27">
        <v>4</v>
      </c>
      <c r="BU35" s="27">
        <v>8</v>
      </c>
      <c r="BV35" s="27">
        <v>0</v>
      </c>
      <c r="BW35" s="27">
        <v>8</v>
      </c>
      <c r="BX35" s="27">
        <v>4</v>
      </c>
      <c r="BY35" s="27">
        <v>8</v>
      </c>
      <c r="BZ35" s="27">
        <v>4</v>
      </c>
      <c r="CA35" s="27">
        <v>8</v>
      </c>
      <c r="CB35" s="27">
        <v>2</v>
      </c>
      <c r="CC35" s="27">
        <v>8</v>
      </c>
      <c r="CD35" s="27"/>
      <c r="CE35" s="8">
        <f t="shared" si="17"/>
        <v>56</v>
      </c>
      <c r="CF35" s="8">
        <f t="shared" si="18"/>
        <v>18</v>
      </c>
      <c r="CG35" s="19">
        <f>IFERROR(INDEX(Settings!$F:$F, MATCH('PROJECT NAME NOV'!$B35 &amp; "-" &amp; 'PROJECT NAME NOV'!$C35, Settings!$H:$H,0)), "")</f>
        <v>112.5</v>
      </c>
      <c r="CH35" s="19">
        <f>IFERROR(INDEX(Settings!$G:$G, MATCH('PROJECT NAME NOV'!$B35 &amp; "-" &amp; 'PROJECT NAME NOV'!$C35, Settings!$H:$H, 0)), "")</f>
        <v>900</v>
      </c>
      <c r="CI35" s="19">
        <f t="shared" si="27"/>
        <v>9337.5</v>
      </c>
      <c r="CJ35" s="19">
        <f t="shared" si="24"/>
        <v>466.875</v>
      </c>
      <c r="CK35" s="19">
        <f t="shared" si="19"/>
        <v>8870.625</v>
      </c>
      <c r="CM35" s="27">
        <v>8</v>
      </c>
      <c r="CN35" s="27">
        <v>4</v>
      </c>
      <c r="CO35" s="27">
        <v>8</v>
      </c>
      <c r="CP35" s="27"/>
      <c r="CQ35" s="27">
        <v>0</v>
      </c>
      <c r="CR35" s="27"/>
      <c r="CS35" s="8">
        <f t="shared" si="5"/>
        <v>16</v>
      </c>
      <c r="CT35" s="8">
        <f t="shared" si="6"/>
        <v>4</v>
      </c>
      <c r="CU35" s="19">
        <f>IFERROR(INDEX(Settings!$F:$F, MATCH('PROJECT NAME NOV'!$B35 &amp; "-" &amp; 'PROJECT NAME NOV'!$C35, Settings!$H:$H,0)), "")</f>
        <v>112.5</v>
      </c>
      <c r="CV35" s="19">
        <f>IFERROR(INDEX(Settings!$G:$G, MATCH('PROJECT NAME NOV'!$B35 &amp; "-" &amp; 'PROJECT NAME NOV'!$C35, Settings!$H:$H, 0)), "")</f>
        <v>900</v>
      </c>
      <c r="CW35" s="19">
        <f t="shared" si="20"/>
        <v>2250</v>
      </c>
      <c r="CX35" s="19">
        <f t="shared" si="21"/>
        <v>112.5</v>
      </c>
      <c r="CY35" s="19">
        <f t="shared" si="7"/>
        <v>2137.5</v>
      </c>
      <c r="DH35" s="86" t="str">
        <f>'Billable Till Date'!B30 &amp; "-" &amp; 'Billable Till Date'!C30</f>
        <v>-</v>
      </c>
    </row>
    <row r="36" spans="2:112" x14ac:dyDescent="0.3">
      <c r="B36" s="3" t="s">
        <v>65</v>
      </c>
      <c r="C36" s="1" t="s">
        <v>28</v>
      </c>
      <c r="D36" s="4"/>
      <c r="E36" s="4" t="s">
        <v>66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8">
        <f t="shared" si="41"/>
        <v>0</v>
      </c>
      <c r="S36" s="8">
        <f t="shared" si="42"/>
        <v>0</v>
      </c>
      <c r="T36" s="19">
        <f>IFERROR(INDEX(Settings!$F:$F, MATCH('PROJECT NAME NOV'!$B36 &amp; "-" &amp; 'PROJECT NAME NOV'!$C36, Settings!$H:$H,0)), "")</f>
        <v>112.5</v>
      </c>
      <c r="U36" s="19">
        <f>IFERROR(INDEX(Settings!$G:$G, MATCH('PROJECT NAME NOV'!$B36 &amp; "-" &amp; 'PROJECT NAME NOV'!$C36, Settings!$H:$H, 0)), "")</f>
        <v>900</v>
      </c>
      <c r="V36" s="19">
        <f t="shared" si="25"/>
        <v>0</v>
      </c>
      <c r="W36" s="19">
        <f t="shared" si="22"/>
        <v>0</v>
      </c>
      <c r="X36" s="19">
        <f t="shared" si="8"/>
        <v>0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44">
        <f>IFERROR(INDEX(Settings!$F:$F, MATCH('PROJECT NAME NOV'!$B36 &amp; "-" &amp; 'PROJECT NAME NOV'!$C36, Settings!$H:$H,0)), "")</f>
        <v>112.5</v>
      </c>
      <c r="AN36" s="44">
        <f>IFERROR(INDEX(Settings!$G:$G, MATCH('PROJECT NAME NOV'!$B36 &amp; "-" &amp; 'PROJECT NAME NOV'!$C36, Settings!$H:$H, 0)), "")</f>
        <v>900</v>
      </c>
      <c r="AO36" s="21">
        <f t="shared" si="9"/>
        <v>0</v>
      </c>
      <c r="AP36" s="21">
        <f t="shared" si="10"/>
        <v>0</v>
      </c>
      <c r="AQ36" s="44">
        <f t="shared" si="11"/>
        <v>0</v>
      </c>
      <c r="AR36" s="44">
        <f t="shared" si="12"/>
        <v>0</v>
      </c>
      <c r="AS36" s="44">
        <f t="shared" si="13"/>
        <v>0</v>
      </c>
      <c r="AT36" s="59"/>
      <c r="AU36" s="21">
        <v>0</v>
      </c>
      <c r="AV36" s="21">
        <v>0</v>
      </c>
      <c r="AW36" s="21">
        <v>8</v>
      </c>
      <c r="AX36" s="21">
        <v>0</v>
      </c>
      <c r="AY36" s="21">
        <v>8</v>
      </c>
      <c r="AZ36" s="21">
        <v>0</v>
      </c>
      <c r="BA36" s="21">
        <v>8</v>
      </c>
      <c r="BB36" s="21">
        <v>4</v>
      </c>
      <c r="BC36" s="21">
        <v>8</v>
      </c>
      <c r="BD36" s="21">
        <v>6</v>
      </c>
      <c r="BE36" s="21">
        <v>8</v>
      </c>
      <c r="BF36" s="27">
        <v>6</v>
      </c>
      <c r="BG36" s="27">
        <v>8</v>
      </c>
      <c r="BH36" s="21">
        <v>0</v>
      </c>
      <c r="BI36" s="8">
        <f t="shared" si="14"/>
        <v>48</v>
      </c>
      <c r="BJ36" s="8">
        <f t="shared" si="15"/>
        <v>16</v>
      </c>
      <c r="BK36" s="19">
        <f>IFERROR(INDEX(Settings!$F:$F, MATCH('PROJECT NAME NOV'!$B36 &amp; "-" &amp; 'PROJECT NAME NOV'!$C36, Settings!$H:$H,0)), "")</f>
        <v>112.5</v>
      </c>
      <c r="BL36" s="19">
        <f>IFERROR(INDEX(Settings!$G:$G, MATCH('PROJECT NAME NOV'!$B36 &amp; "-" &amp; 'PROJECT NAME NOV'!$C36, Settings!$H:$H, 0)), "")</f>
        <v>900</v>
      </c>
      <c r="BM36" s="19">
        <f t="shared" si="26"/>
        <v>8100</v>
      </c>
      <c r="BN36" s="19">
        <f t="shared" si="23"/>
        <v>405</v>
      </c>
      <c r="BO36" s="19">
        <f t="shared" si="16"/>
        <v>7695</v>
      </c>
      <c r="BP36" s="54"/>
      <c r="BQ36" s="21"/>
      <c r="BR36" s="21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8">
        <f t="shared" si="17"/>
        <v>0</v>
      </c>
      <c r="CF36" s="8">
        <f t="shared" si="18"/>
        <v>0</v>
      </c>
      <c r="CG36" s="19">
        <f>IFERROR(INDEX(Settings!$F:$F, MATCH('PROJECT NAME NOV'!$B36 &amp; "-" &amp; 'PROJECT NAME NOV'!$C36, Settings!$H:$H,0)), "")</f>
        <v>112.5</v>
      </c>
      <c r="CH36" s="19">
        <f>IFERROR(INDEX(Settings!$G:$G, MATCH('PROJECT NAME NOV'!$B36 &amp; "-" &amp; 'PROJECT NAME NOV'!$C36, Settings!$H:$H, 0)), "")</f>
        <v>900</v>
      </c>
      <c r="CI36" s="19">
        <f t="shared" si="27"/>
        <v>0</v>
      </c>
      <c r="CJ36" s="19">
        <f t="shared" si="24"/>
        <v>0</v>
      </c>
      <c r="CK36" s="19">
        <f t="shared" si="19"/>
        <v>0</v>
      </c>
      <c r="CM36" s="27">
        <v>8</v>
      </c>
      <c r="CN36" s="27">
        <v>4</v>
      </c>
      <c r="CO36" s="27">
        <v>8</v>
      </c>
      <c r="CP36" s="27"/>
      <c r="CQ36" s="27"/>
      <c r="CR36" s="27"/>
      <c r="CS36" s="8">
        <f t="shared" si="5"/>
        <v>16</v>
      </c>
      <c r="CT36" s="8">
        <f t="shared" si="6"/>
        <v>4</v>
      </c>
      <c r="CU36" s="19">
        <f>IFERROR(INDEX(Settings!$F:$F, MATCH('PROJECT NAME NOV'!$B36 &amp; "-" &amp; 'PROJECT NAME NOV'!$C36, Settings!$H:$H,0)), "")</f>
        <v>112.5</v>
      </c>
      <c r="CV36" s="19">
        <f>IFERROR(INDEX(Settings!$G:$G, MATCH('PROJECT NAME NOV'!$B36 &amp; "-" &amp; 'PROJECT NAME NOV'!$C36, Settings!$H:$H, 0)), "")</f>
        <v>900</v>
      </c>
      <c r="CW36" s="19">
        <f t="shared" si="20"/>
        <v>2250</v>
      </c>
      <c r="CX36" s="19">
        <f t="shared" si="21"/>
        <v>112.5</v>
      </c>
      <c r="CY36" s="19">
        <f t="shared" si="7"/>
        <v>2137.5</v>
      </c>
      <c r="DH36" s="87" t="str">
        <f>'Billable Till Date'!B31 &amp; "-" &amp; 'Billable Till Date'!C31</f>
        <v>-</v>
      </c>
    </row>
    <row r="37" spans="2:112" x14ac:dyDescent="0.3">
      <c r="B37" s="3" t="s">
        <v>65</v>
      </c>
      <c r="C37" s="1" t="s">
        <v>28</v>
      </c>
      <c r="D37" s="4"/>
      <c r="E37" s="4" t="s">
        <v>67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8">
        <f t="shared" si="41"/>
        <v>0</v>
      </c>
      <c r="S37" s="8">
        <f t="shared" si="42"/>
        <v>0</v>
      </c>
      <c r="T37" s="19">
        <f>IFERROR(INDEX(Settings!$F:$F, MATCH('PROJECT NAME NOV'!$B37 &amp; "-" &amp; 'PROJECT NAME NOV'!$C37, Settings!$H:$H,0)), "")</f>
        <v>112.5</v>
      </c>
      <c r="U37" s="19">
        <f>IFERROR(INDEX(Settings!$G:$G, MATCH('PROJECT NAME NOV'!$B37 &amp; "-" &amp; 'PROJECT NAME NOV'!$C37, Settings!$H:$H, 0)), "")</f>
        <v>900</v>
      </c>
      <c r="V37" s="19">
        <f t="shared" si="25"/>
        <v>0</v>
      </c>
      <c r="W37" s="19">
        <f t="shared" si="22"/>
        <v>0</v>
      </c>
      <c r="X37" s="19">
        <f t="shared" si="8"/>
        <v>0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44">
        <f>IFERROR(INDEX(Settings!$F:$F, MATCH('PROJECT NAME NOV'!$B37 &amp; "-" &amp; 'PROJECT NAME NOV'!$C37, Settings!$H:$H,0)), "")</f>
        <v>112.5</v>
      </c>
      <c r="AN37" s="44">
        <f>IFERROR(INDEX(Settings!$G:$G, MATCH('PROJECT NAME NOV'!$B37 &amp; "-" &amp; 'PROJECT NAME NOV'!$C37, Settings!$H:$H, 0)), "")</f>
        <v>900</v>
      </c>
      <c r="AO37" s="21">
        <f t="shared" si="9"/>
        <v>0</v>
      </c>
      <c r="AP37" s="21">
        <f t="shared" si="10"/>
        <v>0</v>
      </c>
      <c r="AQ37" s="44">
        <f t="shared" si="11"/>
        <v>0</v>
      </c>
      <c r="AR37" s="44">
        <f t="shared" si="12"/>
        <v>0</v>
      </c>
      <c r="AS37" s="44">
        <f t="shared" si="13"/>
        <v>0</v>
      </c>
      <c r="AT37" s="59"/>
      <c r="AU37" s="21">
        <v>0</v>
      </c>
      <c r="AV37" s="21">
        <v>0</v>
      </c>
      <c r="AW37" s="21">
        <v>8</v>
      </c>
      <c r="AX37" s="21">
        <v>0</v>
      </c>
      <c r="AY37" s="21">
        <v>8</v>
      </c>
      <c r="AZ37" s="21">
        <v>0</v>
      </c>
      <c r="BA37" s="21">
        <v>8</v>
      </c>
      <c r="BB37" s="21">
        <v>4</v>
      </c>
      <c r="BC37" s="21">
        <v>8</v>
      </c>
      <c r="BD37" s="21">
        <v>6</v>
      </c>
      <c r="BE37" s="21">
        <v>8</v>
      </c>
      <c r="BF37" s="27">
        <v>6</v>
      </c>
      <c r="BG37" s="27">
        <v>8</v>
      </c>
      <c r="BH37" s="21">
        <v>6</v>
      </c>
      <c r="BI37" s="8">
        <f t="shared" si="14"/>
        <v>48</v>
      </c>
      <c r="BJ37" s="8">
        <f t="shared" si="15"/>
        <v>22</v>
      </c>
      <c r="BK37" s="19">
        <f>IFERROR(INDEX(Settings!$F:$F, MATCH('PROJECT NAME NOV'!$B37 &amp; "-" &amp; 'PROJECT NAME NOV'!$C37, Settings!$H:$H,0)), "")</f>
        <v>112.5</v>
      </c>
      <c r="BL37" s="19">
        <f>IFERROR(INDEX(Settings!$G:$G, MATCH('PROJECT NAME NOV'!$B37 &amp; "-" &amp; 'PROJECT NAME NOV'!$C37, Settings!$H:$H, 0)), "")</f>
        <v>900</v>
      </c>
      <c r="BM37" s="19">
        <f t="shared" si="26"/>
        <v>9112.5</v>
      </c>
      <c r="BN37" s="19">
        <f t="shared" si="23"/>
        <v>455.625</v>
      </c>
      <c r="BO37" s="19">
        <f t="shared" si="16"/>
        <v>8656.875</v>
      </c>
      <c r="BP37" s="54"/>
      <c r="BQ37" s="21">
        <v>8</v>
      </c>
      <c r="BR37" s="21">
        <v>4</v>
      </c>
      <c r="BS37" s="27">
        <v>8</v>
      </c>
      <c r="BT37" s="27">
        <v>4</v>
      </c>
      <c r="BU37" s="27">
        <v>8</v>
      </c>
      <c r="BV37" s="27">
        <v>0</v>
      </c>
      <c r="BW37" s="27">
        <v>8</v>
      </c>
      <c r="BX37" s="27">
        <v>4</v>
      </c>
      <c r="BY37" s="27">
        <v>8</v>
      </c>
      <c r="BZ37" s="27">
        <v>4</v>
      </c>
      <c r="CA37" s="27">
        <v>8</v>
      </c>
      <c r="CB37" s="27">
        <v>4</v>
      </c>
      <c r="CC37" s="27">
        <v>8</v>
      </c>
      <c r="CD37" s="27"/>
      <c r="CE37" s="8">
        <f t="shared" si="17"/>
        <v>56</v>
      </c>
      <c r="CF37" s="8">
        <f t="shared" si="18"/>
        <v>20</v>
      </c>
      <c r="CG37" s="19">
        <f>IFERROR(INDEX(Settings!$F:$F, MATCH('PROJECT NAME NOV'!$B37 &amp; "-" &amp; 'PROJECT NAME NOV'!$C37, Settings!$H:$H,0)), "")</f>
        <v>112.5</v>
      </c>
      <c r="CH37" s="19">
        <f>IFERROR(INDEX(Settings!$G:$G, MATCH('PROJECT NAME NOV'!$B37 &amp; "-" &amp; 'PROJECT NAME NOV'!$C37, Settings!$H:$H, 0)), "")</f>
        <v>900</v>
      </c>
      <c r="CI37" s="19">
        <f t="shared" si="27"/>
        <v>9675</v>
      </c>
      <c r="CJ37" s="19">
        <f t="shared" si="24"/>
        <v>483.75</v>
      </c>
      <c r="CK37" s="19">
        <f t="shared" si="19"/>
        <v>9191.25</v>
      </c>
      <c r="CM37" s="27">
        <v>8</v>
      </c>
      <c r="CN37" s="27">
        <v>4</v>
      </c>
      <c r="CO37" s="27">
        <v>0</v>
      </c>
      <c r="CP37" s="27"/>
      <c r="CQ37" s="27"/>
      <c r="CR37" s="27"/>
      <c r="CS37" s="8">
        <f t="shared" si="5"/>
        <v>8</v>
      </c>
      <c r="CT37" s="8">
        <f t="shared" si="6"/>
        <v>4</v>
      </c>
      <c r="CU37" s="19">
        <f>IFERROR(INDEX(Settings!$F:$F, MATCH('PROJECT NAME NOV'!$B37 &amp; "-" &amp; 'PROJECT NAME NOV'!$C37, Settings!$H:$H,0)), "")</f>
        <v>112.5</v>
      </c>
      <c r="CV37" s="19">
        <f>IFERROR(INDEX(Settings!$G:$G, MATCH('PROJECT NAME NOV'!$B37 &amp; "-" &amp; 'PROJECT NAME NOV'!$C37, Settings!$H:$H, 0)), "")</f>
        <v>900</v>
      </c>
      <c r="CW37" s="19">
        <f t="shared" si="20"/>
        <v>1350</v>
      </c>
      <c r="CX37" s="19">
        <f t="shared" si="21"/>
        <v>67.5</v>
      </c>
      <c r="CY37" s="19">
        <f t="shared" si="7"/>
        <v>1282.5</v>
      </c>
      <c r="DH37" s="86" t="str">
        <f>'Billable Till Date'!B32 &amp; "-" &amp; 'Billable Till Date'!C32</f>
        <v>-</v>
      </c>
    </row>
    <row r="38" spans="2:112" x14ac:dyDescent="0.3">
      <c r="B38" s="3" t="s">
        <v>65</v>
      </c>
      <c r="C38" s="1" t="s">
        <v>28</v>
      </c>
      <c r="D38" s="4"/>
      <c r="E38" s="4" t="s">
        <v>68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8">
        <f t="shared" si="41"/>
        <v>0</v>
      </c>
      <c r="S38" s="8">
        <f t="shared" si="42"/>
        <v>0</v>
      </c>
      <c r="T38" s="19">
        <f>IFERROR(INDEX(Settings!$F:$F, MATCH('PROJECT NAME NOV'!$B38 &amp; "-" &amp; 'PROJECT NAME NOV'!$C38, Settings!$H:$H,0)), "")</f>
        <v>112.5</v>
      </c>
      <c r="U38" s="19">
        <f>IFERROR(INDEX(Settings!$G:$G, MATCH('PROJECT NAME NOV'!$B38 &amp; "-" &amp; 'PROJECT NAME NOV'!$C38, Settings!$H:$H, 0)), "")</f>
        <v>900</v>
      </c>
      <c r="V38" s="19">
        <f t="shared" si="25"/>
        <v>0</v>
      </c>
      <c r="W38" s="19">
        <f t="shared" si="22"/>
        <v>0</v>
      </c>
      <c r="X38" s="19">
        <f t="shared" si="8"/>
        <v>0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44">
        <f>IFERROR(INDEX(Settings!$F:$F, MATCH('PROJECT NAME NOV'!$B38 &amp; "-" &amp; 'PROJECT NAME NOV'!$C38, Settings!$H:$H,0)), "")</f>
        <v>112.5</v>
      </c>
      <c r="AN38" s="44">
        <f>IFERROR(INDEX(Settings!$G:$G, MATCH('PROJECT NAME NOV'!$B38 &amp; "-" &amp; 'PROJECT NAME NOV'!$C38, Settings!$H:$H, 0)), "")</f>
        <v>900</v>
      </c>
      <c r="AO38" s="21">
        <f t="shared" si="9"/>
        <v>0</v>
      </c>
      <c r="AP38" s="21">
        <f t="shared" si="10"/>
        <v>0</v>
      </c>
      <c r="AQ38" s="44">
        <f t="shared" si="11"/>
        <v>0</v>
      </c>
      <c r="AR38" s="44">
        <f t="shared" si="12"/>
        <v>0</v>
      </c>
      <c r="AS38" s="44">
        <f t="shared" si="13"/>
        <v>0</v>
      </c>
      <c r="AT38" s="59"/>
      <c r="AU38" s="21">
        <v>0</v>
      </c>
      <c r="AV38" s="21">
        <v>0</v>
      </c>
      <c r="AW38" s="21">
        <v>8</v>
      </c>
      <c r="AX38" s="21">
        <v>0</v>
      </c>
      <c r="AY38" s="21">
        <v>8</v>
      </c>
      <c r="AZ38" s="21">
        <v>0</v>
      </c>
      <c r="BA38" s="21">
        <v>8</v>
      </c>
      <c r="BB38" s="21">
        <v>4</v>
      </c>
      <c r="BC38" s="21">
        <v>8</v>
      </c>
      <c r="BD38" s="21">
        <v>6</v>
      </c>
      <c r="BE38" s="21">
        <v>8</v>
      </c>
      <c r="BF38" s="27">
        <v>6</v>
      </c>
      <c r="BG38" s="27">
        <v>8</v>
      </c>
      <c r="BH38" s="21">
        <v>6</v>
      </c>
      <c r="BI38" s="8">
        <f t="shared" si="14"/>
        <v>48</v>
      </c>
      <c r="BJ38" s="8">
        <f t="shared" si="15"/>
        <v>22</v>
      </c>
      <c r="BK38" s="19">
        <f>IFERROR(INDEX(Settings!$F:$F, MATCH('PROJECT NAME NOV'!$B38 &amp; "-" &amp; 'PROJECT NAME NOV'!$C38, Settings!$H:$H,0)), "")</f>
        <v>112.5</v>
      </c>
      <c r="BL38" s="19">
        <f>IFERROR(INDEX(Settings!$G:$G, MATCH('PROJECT NAME NOV'!$B38 &amp; "-" &amp; 'PROJECT NAME NOV'!$C38, Settings!$H:$H, 0)), "")</f>
        <v>900</v>
      </c>
      <c r="BM38" s="19">
        <f t="shared" si="26"/>
        <v>9112.5</v>
      </c>
      <c r="BN38" s="19">
        <f t="shared" si="23"/>
        <v>455.625</v>
      </c>
      <c r="BO38" s="19">
        <f t="shared" si="16"/>
        <v>8656.875</v>
      </c>
      <c r="BP38" s="54"/>
      <c r="BQ38" s="21">
        <v>8</v>
      </c>
      <c r="BR38" s="21">
        <v>4</v>
      </c>
      <c r="BS38" s="27">
        <v>8</v>
      </c>
      <c r="BT38" s="27">
        <v>4</v>
      </c>
      <c r="BU38" s="27">
        <v>8</v>
      </c>
      <c r="BV38" s="27">
        <v>0</v>
      </c>
      <c r="BW38" s="27">
        <v>8</v>
      </c>
      <c r="BX38" s="27">
        <v>4</v>
      </c>
      <c r="BY38" s="27">
        <v>8</v>
      </c>
      <c r="BZ38" s="27">
        <v>4</v>
      </c>
      <c r="CA38" s="27">
        <v>8</v>
      </c>
      <c r="CB38" s="27">
        <v>4</v>
      </c>
      <c r="CC38" s="27">
        <v>8</v>
      </c>
      <c r="CD38" s="27"/>
      <c r="CE38" s="8">
        <f t="shared" si="17"/>
        <v>56</v>
      </c>
      <c r="CF38" s="8">
        <f t="shared" si="18"/>
        <v>20</v>
      </c>
      <c r="CG38" s="19">
        <f>IFERROR(INDEX(Settings!$F:$F, MATCH('PROJECT NAME NOV'!$B38 &amp; "-" &amp; 'PROJECT NAME NOV'!$C38, Settings!$H:$H,0)), "")</f>
        <v>112.5</v>
      </c>
      <c r="CH38" s="19">
        <f>IFERROR(INDEX(Settings!$G:$G, MATCH('PROJECT NAME NOV'!$B38 &amp; "-" &amp; 'PROJECT NAME NOV'!$C38, Settings!$H:$H, 0)), "")</f>
        <v>900</v>
      </c>
      <c r="CI38" s="19">
        <f t="shared" si="27"/>
        <v>9675</v>
      </c>
      <c r="CJ38" s="19">
        <f t="shared" si="24"/>
        <v>483.75</v>
      </c>
      <c r="CK38" s="19">
        <f t="shared" si="19"/>
        <v>9191.25</v>
      </c>
      <c r="CM38" s="27">
        <v>8</v>
      </c>
      <c r="CN38" s="27">
        <v>4</v>
      </c>
      <c r="CO38" s="27">
        <v>8</v>
      </c>
      <c r="CP38" s="27"/>
      <c r="CQ38" s="27"/>
      <c r="CR38" s="27"/>
      <c r="CS38" s="8">
        <f t="shared" si="5"/>
        <v>16</v>
      </c>
      <c r="CT38" s="8">
        <f t="shared" si="6"/>
        <v>4</v>
      </c>
      <c r="CU38" s="19">
        <f>IFERROR(INDEX(Settings!$F:$F, MATCH('PROJECT NAME NOV'!$B38 &amp; "-" &amp; 'PROJECT NAME NOV'!$C38, Settings!$H:$H,0)), "")</f>
        <v>112.5</v>
      </c>
      <c r="CV38" s="19">
        <f>IFERROR(INDEX(Settings!$G:$G, MATCH('PROJECT NAME NOV'!$B38 &amp; "-" &amp; 'PROJECT NAME NOV'!$C38, Settings!$H:$H, 0)), "")</f>
        <v>900</v>
      </c>
      <c r="CW38" s="19">
        <f t="shared" si="20"/>
        <v>2250</v>
      </c>
      <c r="CX38" s="19">
        <f t="shared" si="21"/>
        <v>112.5</v>
      </c>
      <c r="CY38" s="19">
        <f t="shared" si="7"/>
        <v>2137.5</v>
      </c>
      <c r="DH38" s="87" t="str">
        <f>'Billable Till Date'!B33 &amp; "-" &amp; 'Billable Till Date'!C33</f>
        <v>-</v>
      </c>
    </row>
    <row r="39" spans="2:112" x14ac:dyDescent="0.3">
      <c r="B39" s="3" t="s">
        <v>65</v>
      </c>
      <c r="C39" s="1" t="s">
        <v>28</v>
      </c>
      <c r="D39" s="4"/>
      <c r="E39" s="4" t="s">
        <v>69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8">
        <f t="shared" si="41"/>
        <v>0</v>
      </c>
      <c r="S39" s="8">
        <f t="shared" si="42"/>
        <v>0</v>
      </c>
      <c r="T39" s="19">
        <f>IFERROR(INDEX(Settings!$F:$F, MATCH('PROJECT NAME NOV'!$B39 &amp; "-" &amp; 'PROJECT NAME NOV'!$C39, Settings!$H:$H,0)), "")</f>
        <v>112.5</v>
      </c>
      <c r="U39" s="19">
        <f>IFERROR(INDEX(Settings!$G:$G, MATCH('PROJECT NAME NOV'!$B39 &amp; "-" &amp; 'PROJECT NAME NOV'!$C39, Settings!$H:$H, 0)), "")</f>
        <v>900</v>
      </c>
      <c r="V39" s="20">
        <f t="shared" si="25"/>
        <v>0</v>
      </c>
      <c r="W39" s="20">
        <f t="shared" si="22"/>
        <v>0</v>
      </c>
      <c r="X39" s="19">
        <f t="shared" si="8"/>
        <v>0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44">
        <f>IFERROR(INDEX(Settings!$F:$F, MATCH('PROJECT NAME NOV'!$B39 &amp; "-" &amp; 'PROJECT NAME NOV'!$C39, Settings!$H:$H,0)), "")</f>
        <v>112.5</v>
      </c>
      <c r="AN39" s="44">
        <f>IFERROR(INDEX(Settings!$G:$G, MATCH('PROJECT NAME NOV'!$B39 &amp; "-" &amp; 'PROJECT NAME NOV'!$C39, Settings!$H:$H, 0)), "")</f>
        <v>900</v>
      </c>
      <c r="AO39" s="21">
        <f t="shared" si="9"/>
        <v>0</v>
      </c>
      <c r="AP39" s="21">
        <f t="shared" si="10"/>
        <v>0</v>
      </c>
      <c r="AQ39" s="44">
        <f t="shared" si="11"/>
        <v>0</v>
      </c>
      <c r="AR39" s="44">
        <f t="shared" si="12"/>
        <v>0</v>
      </c>
      <c r="AS39" s="44">
        <f t="shared" si="13"/>
        <v>0</v>
      </c>
      <c r="AT39" s="59"/>
      <c r="AU39" s="21">
        <v>0</v>
      </c>
      <c r="AV39" s="21">
        <v>0</v>
      </c>
      <c r="AW39" s="21">
        <v>8</v>
      </c>
      <c r="AX39" s="21">
        <v>0</v>
      </c>
      <c r="AY39" s="21">
        <v>8</v>
      </c>
      <c r="AZ39" s="21">
        <v>0</v>
      </c>
      <c r="BA39" s="21">
        <v>8</v>
      </c>
      <c r="BB39" s="21">
        <v>4</v>
      </c>
      <c r="BC39" s="21">
        <v>8</v>
      </c>
      <c r="BD39" s="21">
        <v>6</v>
      </c>
      <c r="BE39" s="21">
        <v>8</v>
      </c>
      <c r="BF39" s="27">
        <v>6</v>
      </c>
      <c r="BG39" s="27">
        <v>8</v>
      </c>
      <c r="BH39" s="21">
        <v>6</v>
      </c>
      <c r="BI39" s="8">
        <f t="shared" si="14"/>
        <v>48</v>
      </c>
      <c r="BJ39" s="8">
        <f t="shared" si="15"/>
        <v>22</v>
      </c>
      <c r="BK39" s="19">
        <f>IFERROR(INDEX(Settings!$F:$F, MATCH('PROJECT NAME NOV'!$B39 &amp; "-" &amp; 'PROJECT NAME NOV'!$C39, Settings!$H:$H,0)), "")</f>
        <v>112.5</v>
      </c>
      <c r="BL39" s="19">
        <f>IFERROR(INDEX(Settings!$G:$G, MATCH('PROJECT NAME NOV'!$B39 &amp; "-" &amp; 'PROJECT NAME NOV'!$C39, Settings!$H:$H, 0)), "")</f>
        <v>900</v>
      </c>
      <c r="BM39" s="20">
        <f t="shared" si="26"/>
        <v>9112.5</v>
      </c>
      <c r="BN39" s="20">
        <f t="shared" si="23"/>
        <v>455.625</v>
      </c>
      <c r="BO39" s="19">
        <f t="shared" si="16"/>
        <v>8656.875</v>
      </c>
      <c r="BP39" s="54"/>
      <c r="BQ39" s="21">
        <v>8</v>
      </c>
      <c r="BR39" s="21">
        <v>4</v>
      </c>
      <c r="BS39" s="27">
        <v>8</v>
      </c>
      <c r="BT39" s="27">
        <v>4</v>
      </c>
      <c r="BU39" s="27">
        <v>8</v>
      </c>
      <c r="BV39" s="27">
        <v>0</v>
      </c>
      <c r="BW39" s="27">
        <v>8</v>
      </c>
      <c r="BX39" s="27">
        <v>4</v>
      </c>
      <c r="BY39" s="27">
        <v>8</v>
      </c>
      <c r="BZ39" s="27">
        <v>4</v>
      </c>
      <c r="CA39" s="27">
        <v>8</v>
      </c>
      <c r="CB39" s="27">
        <v>4</v>
      </c>
      <c r="CC39" s="27">
        <v>8</v>
      </c>
      <c r="CD39" s="27"/>
      <c r="CE39" s="8">
        <f t="shared" si="17"/>
        <v>56</v>
      </c>
      <c r="CF39" s="8">
        <f t="shared" si="18"/>
        <v>20</v>
      </c>
      <c r="CG39" s="19">
        <f>IFERROR(INDEX(Settings!$F:$F, MATCH('PROJECT NAME NOV'!$B39 &amp; "-" &amp; 'PROJECT NAME NOV'!$C39, Settings!$H:$H,0)), "")</f>
        <v>112.5</v>
      </c>
      <c r="CH39" s="19">
        <f>IFERROR(INDEX(Settings!$G:$G, MATCH('PROJECT NAME NOV'!$B39 &amp; "-" &amp; 'PROJECT NAME NOV'!$C39, Settings!$H:$H, 0)), "")</f>
        <v>900</v>
      </c>
      <c r="CI39" s="20">
        <f t="shared" si="27"/>
        <v>9675</v>
      </c>
      <c r="CJ39" s="20">
        <f t="shared" si="24"/>
        <v>483.75</v>
      </c>
      <c r="CK39" s="19">
        <f t="shared" si="19"/>
        <v>9191.25</v>
      </c>
      <c r="CM39" s="27">
        <v>8</v>
      </c>
      <c r="CN39" s="27">
        <v>4</v>
      </c>
      <c r="CO39" s="27">
        <v>8</v>
      </c>
      <c r="CP39" s="27"/>
      <c r="CQ39" s="27"/>
      <c r="CR39" s="27"/>
      <c r="CS39" s="8">
        <f t="shared" si="5"/>
        <v>16</v>
      </c>
      <c r="CT39" s="8">
        <f t="shared" si="6"/>
        <v>4</v>
      </c>
      <c r="CU39" s="19">
        <f>IFERROR(INDEX(Settings!$F:$F, MATCH('PROJECT NAME NOV'!$B39 &amp; "-" &amp; 'PROJECT NAME NOV'!$C39, Settings!$H:$H,0)), "")</f>
        <v>112.5</v>
      </c>
      <c r="CV39" s="19">
        <f>IFERROR(INDEX(Settings!$G:$G, MATCH('PROJECT NAME NOV'!$B39 &amp; "-" &amp; 'PROJECT NAME NOV'!$C39, Settings!$H:$H, 0)), "")</f>
        <v>900</v>
      </c>
      <c r="CW39" s="19">
        <f t="shared" si="20"/>
        <v>2250</v>
      </c>
      <c r="CX39" s="20">
        <f t="shared" si="21"/>
        <v>112.5</v>
      </c>
      <c r="CY39" s="19">
        <f t="shared" si="7"/>
        <v>2137.5</v>
      </c>
      <c r="DH39" s="86" t="str">
        <f>'Billable Till Date'!B34 &amp; "-" &amp; 'Billable Till Date'!C34</f>
        <v>-</v>
      </c>
    </row>
    <row r="40" spans="2:112" x14ac:dyDescent="0.3">
      <c r="B40" s="3" t="s">
        <v>65</v>
      </c>
      <c r="C40" s="1" t="s">
        <v>28</v>
      </c>
      <c r="D40" s="4"/>
      <c r="E40" s="4" t="s">
        <v>70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8">
        <f t="shared" si="41"/>
        <v>0</v>
      </c>
      <c r="S40" s="8">
        <f t="shared" si="42"/>
        <v>0</v>
      </c>
      <c r="T40" s="19">
        <f>IFERROR(INDEX(Settings!$F:$F, MATCH('PROJECT NAME NOV'!$B40 &amp; "-" &amp; 'PROJECT NAME NOV'!$C40, Settings!$H:$H,0)), "")</f>
        <v>112.5</v>
      </c>
      <c r="U40" s="19">
        <f>IFERROR(INDEX(Settings!$G:$G, MATCH('PROJECT NAME NOV'!$B40 &amp; "-" &amp; 'PROJECT NAME NOV'!$C40, Settings!$H:$H, 0)), "")</f>
        <v>900</v>
      </c>
      <c r="V40" s="20">
        <f t="shared" si="25"/>
        <v>0</v>
      </c>
      <c r="W40" s="20">
        <f t="shared" si="22"/>
        <v>0</v>
      </c>
      <c r="X40" s="19">
        <f t="shared" si="8"/>
        <v>0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44">
        <f>IFERROR(INDEX(Settings!$F:$F, MATCH('PROJECT NAME NOV'!$B40 &amp; "-" &amp; 'PROJECT NAME NOV'!$C40, Settings!$H:$H,0)), "")</f>
        <v>112.5</v>
      </c>
      <c r="AN40" s="44">
        <f>IFERROR(INDEX(Settings!$G:$G, MATCH('PROJECT NAME NOV'!$B40 &amp; "-" &amp; 'PROJECT NAME NOV'!$C40, Settings!$H:$H, 0)), "")</f>
        <v>900</v>
      </c>
      <c r="AO40" s="21">
        <f t="shared" si="9"/>
        <v>0</v>
      </c>
      <c r="AP40" s="21">
        <f t="shared" si="10"/>
        <v>0</v>
      </c>
      <c r="AQ40" s="44">
        <f t="shared" si="11"/>
        <v>0</v>
      </c>
      <c r="AR40" s="44">
        <f t="shared" si="12"/>
        <v>0</v>
      </c>
      <c r="AS40" s="44">
        <f t="shared" si="13"/>
        <v>0</v>
      </c>
      <c r="AT40" s="59"/>
      <c r="AU40" s="21">
        <v>0</v>
      </c>
      <c r="AV40" s="21">
        <v>0</v>
      </c>
      <c r="AW40" s="21">
        <v>8</v>
      </c>
      <c r="AX40" s="21">
        <v>0</v>
      </c>
      <c r="AY40" s="21">
        <v>8</v>
      </c>
      <c r="AZ40" s="21">
        <v>0</v>
      </c>
      <c r="BA40" s="21">
        <v>8</v>
      </c>
      <c r="BB40" s="21">
        <v>4</v>
      </c>
      <c r="BC40" s="21">
        <v>8</v>
      </c>
      <c r="BD40" s="21">
        <v>6</v>
      </c>
      <c r="BE40" s="21">
        <v>8</v>
      </c>
      <c r="BF40" s="27">
        <v>6</v>
      </c>
      <c r="BG40" s="27">
        <v>8</v>
      </c>
      <c r="BH40" s="21">
        <v>6</v>
      </c>
      <c r="BI40" s="8">
        <f t="shared" si="14"/>
        <v>48</v>
      </c>
      <c r="BJ40" s="8">
        <f t="shared" si="15"/>
        <v>22</v>
      </c>
      <c r="BK40" s="19">
        <f>IFERROR(INDEX(Settings!$F:$F, MATCH('PROJECT NAME NOV'!$B40 &amp; "-" &amp; 'PROJECT NAME NOV'!$C40, Settings!$H:$H,0)), "")</f>
        <v>112.5</v>
      </c>
      <c r="BL40" s="19">
        <f>IFERROR(INDEX(Settings!$G:$G, MATCH('PROJECT NAME NOV'!$B40 &amp; "-" &amp; 'PROJECT NAME NOV'!$C40, Settings!$H:$H, 0)), "")</f>
        <v>900</v>
      </c>
      <c r="BM40" s="20">
        <f t="shared" si="26"/>
        <v>9112.5</v>
      </c>
      <c r="BN40" s="20">
        <f t="shared" si="23"/>
        <v>455.625</v>
      </c>
      <c r="BO40" s="19">
        <f t="shared" si="16"/>
        <v>8656.875</v>
      </c>
      <c r="BP40" s="54"/>
      <c r="BQ40" s="21">
        <v>8</v>
      </c>
      <c r="BR40" s="21">
        <v>4</v>
      </c>
      <c r="BS40" s="27">
        <v>8</v>
      </c>
      <c r="BT40" s="27">
        <v>4</v>
      </c>
      <c r="BU40" s="27">
        <v>8</v>
      </c>
      <c r="BV40" s="27">
        <v>0</v>
      </c>
      <c r="BW40" s="27">
        <v>8</v>
      </c>
      <c r="BX40" s="27">
        <v>4</v>
      </c>
      <c r="BY40" s="27">
        <v>8</v>
      </c>
      <c r="BZ40" s="27">
        <v>4</v>
      </c>
      <c r="CA40" s="27">
        <v>8</v>
      </c>
      <c r="CB40" s="27">
        <v>4</v>
      </c>
      <c r="CC40" s="27">
        <v>8</v>
      </c>
      <c r="CD40" s="27"/>
      <c r="CE40" s="8">
        <f t="shared" si="17"/>
        <v>56</v>
      </c>
      <c r="CF40" s="8">
        <f t="shared" si="18"/>
        <v>20</v>
      </c>
      <c r="CG40" s="19">
        <f>IFERROR(INDEX(Settings!$F:$F, MATCH('PROJECT NAME NOV'!$B40 &amp; "-" &amp; 'PROJECT NAME NOV'!$C40, Settings!$H:$H,0)), "")</f>
        <v>112.5</v>
      </c>
      <c r="CH40" s="19">
        <f>IFERROR(INDEX(Settings!$G:$G, MATCH('PROJECT NAME NOV'!$B40 &amp; "-" &amp; 'PROJECT NAME NOV'!$C40, Settings!$H:$H, 0)), "")</f>
        <v>900</v>
      </c>
      <c r="CI40" s="20">
        <f t="shared" si="27"/>
        <v>9675</v>
      </c>
      <c r="CJ40" s="20">
        <f t="shared" si="24"/>
        <v>483.75</v>
      </c>
      <c r="CK40" s="19">
        <f t="shared" si="19"/>
        <v>9191.25</v>
      </c>
      <c r="CM40" s="27">
        <v>8</v>
      </c>
      <c r="CN40" s="27">
        <v>4</v>
      </c>
      <c r="CO40" s="27">
        <v>8</v>
      </c>
      <c r="CP40" s="27"/>
      <c r="CQ40" s="27"/>
      <c r="CR40" s="27"/>
      <c r="CS40" s="8">
        <f t="shared" ref="CS40:CS106" si="43">SUM(CM40,CO40,CQ40)</f>
        <v>16</v>
      </c>
      <c r="CT40" s="8">
        <f t="shared" ref="CT40:CT61" si="44">SUM(CN40,CP40,CR40)</f>
        <v>4</v>
      </c>
      <c r="CU40" s="19">
        <f>IFERROR(INDEX(Settings!$F:$F, MATCH('PROJECT NAME NOV'!$B40 &amp; "-" &amp; 'PROJECT NAME NOV'!$C40, Settings!$H:$H,0)), "")</f>
        <v>112.5</v>
      </c>
      <c r="CV40" s="19">
        <f>IFERROR(INDEX(Settings!$G:$G, MATCH('PROJECT NAME NOV'!$B40 &amp; "-" &amp; 'PROJECT NAME NOV'!$C40, Settings!$H:$H, 0)), "")</f>
        <v>900</v>
      </c>
      <c r="CW40" s="19">
        <f t="shared" si="20"/>
        <v>2250</v>
      </c>
      <c r="CX40" s="20">
        <f t="shared" si="21"/>
        <v>112.5</v>
      </c>
      <c r="CY40" s="19">
        <f t="shared" si="7"/>
        <v>2137.5</v>
      </c>
      <c r="DH40" s="87" t="str">
        <f>'Billable Till Date'!B35 &amp; "-" &amp; 'Billable Till Date'!C35</f>
        <v>-</v>
      </c>
    </row>
    <row r="41" spans="2:112" x14ac:dyDescent="0.3">
      <c r="B41" s="3" t="s">
        <v>65</v>
      </c>
      <c r="C41" s="1" t="s">
        <v>28</v>
      </c>
      <c r="D41" s="4"/>
      <c r="E41" s="4" t="s">
        <v>71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8">
        <f t="shared" si="41"/>
        <v>0</v>
      </c>
      <c r="S41" s="8">
        <f t="shared" si="42"/>
        <v>0</v>
      </c>
      <c r="T41" s="19">
        <f>IFERROR(INDEX(Settings!$F:$F, MATCH('PROJECT NAME NOV'!$B41 &amp; "-" &amp; 'PROJECT NAME NOV'!$C41, Settings!$H:$H,0)), "")</f>
        <v>112.5</v>
      </c>
      <c r="U41" s="19">
        <f>IFERROR(INDEX(Settings!$G:$G, MATCH('PROJECT NAME NOV'!$B41 &amp; "-" &amp; 'PROJECT NAME NOV'!$C41, Settings!$H:$H, 0)), "")</f>
        <v>900</v>
      </c>
      <c r="V41" s="20">
        <f t="shared" si="25"/>
        <v>0</v>
      </c>
      <c r="W41" s="20">
        <f t="shared" si="22"/>
        <v>0</v>
      </c>
      <c r="X41" s="19">
        <f t="shared" si="8"/>
        <v>0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44">
        <f>IFERROR(INDEX(Settings!$F:$F, MATCH('PROJECT NAME NOV'!$B41 &amp; "-" &amp; 'PROJECT NAME NOV'!$C41, Settings!$H:$H,0)), "")</f>
        <v>112.5</v>
      </c>
      <c r="AN41" s="44">
        <f>IFERROR(INDEX(Settings!$G:$G, MATCH('PROJECT NAME NOV'!$B41 &amp; "-" &amp; 'PROJECT NAME NOV'!$C41, Settings!$H:$H, 0)), "")</f>
        <v>900</v>
      </c>
      <c r="AO41" s="21">
        <f t="shared" si="9"/>
        <v>0</v>
      </c>
      <c r="AP41" s="21">
        <f t="shared" si="10"/>
        <v>0</v>
      </c>
      <c r="AQ41" s="44">
        <f t="shared" si="11"/>
        <v>0</v>
      </c>
      <c r="AR41" s="44">
        <f t="shared" si="12"/>
        <v>0</v>
      </c>
      <c r="AS41" s="44">
        <f t="shared" si="13"/>
        <v>0</v>
      </c>
      <c r="AT41" s="59"/>
      <c r="AU41" s="21">
        <v>0</v>
      </c>
      <c r="AV41" s="21">
        <v>0</v>
      </c>
      <c r="AW41" s="21">
        <v>8</v>
      </c>
      <c r="AX41" s="21">
        <v>0</v>
      </c>
      <c r="AY41" s="21">
        <v>8</v>
      </c>
      <c r="AZ41" s="21">
        <v>0</v>
      </c>
      <c r="BA41" s="21">
        <v>8</v>
      </c>
      <c r="BB41" s="21">
        <v>4</v>
      </c>
      <c r="BC41" s="21">
        <v>8</v>
      </c>
      <c r="BD41" s="21">
        <v>6</v>
      </c>
      <c r="BE41" s="21">
        <v>8</v>
      </c>
      <c r="BF41" s="27">
        <v>6</v>
      </c>
      <c r="BG41" s="27">
        <v>8</v>
      </c>
      <c r="BH41" s="21">
        <v>6</v>
      </c>
      <c r="BI41" s="8">
        <f t="shared" si="14"/>
        <v>48</v>
      </c>
      <c r="BJ41" s="8">
        <f t="shared" si="15"/>
        <v>22</v>
      </c>
      <c r="BK41" s="19">
        <f>IFERROR(INDEX(Settings!$F:$F, MATCH('PROJECT NAME NOV'!$B41 &amp; "-" &amp; 'PROJECT NAME NOV'!$C41, Settings!$H:$H,0)), "")</f>
        <v>112.5</v>
      </c>
      <c r="BL41" s="19">
        <f>IFERROR(INDEX(Settings!$G:$G, MATCH('PROJECT NAME NOV'!$B41 &amp; "-" &amp; 'PROJECT NAME NOV'!$C41, Settings!$H:$H, 0)), "")</f>
        <v>900</v>
      </c>
      <c r="BM41" s="20">
        <f t="shared" si="26"/>
        <v>9112.5</v>
      </c>
      <c r="BN41" s="20">
        <f t="shared" si="23"/>
        <v>455.625</v>
      </c>
      <c r="BO41" s="19">
        <f t="shared" si="16"/>
        <v>8656.875</v>
      </c>
      <c r="BP41" s="54"/>
      <c r="BQ41" s="21">
        <v>8</v>
      </c>
      <c r="BR41" s="21">
        <v>4</v>
      </c>
      <c r="BS41" s="27">
        <v>8</v>
      </c>
      <c r="BT41" s="27">
        <v>4</v>
      </c>
      <c r="BU41" s="27">
        <v>8</v>
      </c>
      <c r="BV41" s="27">
        <v>0</v>
      </c>
      <c r="BW41" s="27">
        <v>8</v>
      </c>
      <c r="BX41" s="27">
        <v>4</v>
      </c>
      <c r="BY41" s="27">
        <v>8</v>
      </c>
      <c r="BZ41" s="27">
        <v>4</v>
      </c>
      <c r="CA41" s="27">
        <v>8</v>
      </c>
      <c r="CB41" s="27">
        <v>4</v>
      </c>
      <c r="CC41" s="27">
        <v>8</v>
      </c>
      <c r="CD41" s="27"/>
      <c r="CE41" s="8">
        <f t="shared" si="17"/>
        <v>56</v>
      </c>
      <c r="CF41" s="8">
        <f t="shared" si="18"/>
        <v>20</v>
      </c>
      <c r="CG41" s="19">
        <f>IFERROR(INDEX(Settings!$F:$F, MATCH('PROJECT NAME NOV'!$B41 &amp; "-" &amp; 'PROJECT NAME NOV'!$C41, Settings!$H:$H,0)), "")</f>
        <v>112.5</v>
      </c>
      <c r="CH41" s="19">
        <f>IFERROR(INDEX(Settings!$G:$G, MATCH('PROJECT NAME NOV'!$B41 &amp; "-" &amp; 'PROJECT NAME NOV'!$C41, Settings!$H:$H, 0)), "")</f>
        <v>900</v>
      </c>
      <c r="CI41" s="20">
        <f t="shared" si="27"/>
        <v>9675</v>
      </c>
      <c r="CJ41" s="20">
        <f t="shared" si="24"/>
        <v>483.75</v>
      </c>
      <c r="CK41" s="19">
        <f t="shared" si="19"/>
        <v>9191.25</v>
      </c>
      <c r="CM41" s="27">
        <v>8</v>
      </c>
      <c r="CN41" s="27">
        <v>4</v>
      </c>
      <c r="CO41" s="27">
        <v>8</v>
      </c>
      <c r="CP41" s="27"/>
      <c r="CQ41" s="27"/>
      <c r="CR41" s="27"/>
      <c r="CS41" s="8">
        <f t="shared" si="43"/>
        <v>16</v>
      </c>
      <c r="CT41" s="8">
        <f t="shared" si="44"/>
        <v>4</v>
      </c>
      <c r="CU41" s="19">
        <f>IFERROR(INDEX(Settings!$F:$F, MATCH('PROJECT NAME NOV'!$B41 &amp; "-" &amp; 'PROJECT NAME NOV'!$C41, Settings!$H:$H,0)), "")</f>
        <v>112.5</v>
      </c>
      <c r="CV41" s="19">
        <f>IFERROR(INDEX(Settings!$G:$G, MATCH('PROJECT NAME NOV'!$B41 &amp; "-" &amp; 'PROJECT NAME NOV'!$C41, Settings!$H:$H, 0)), "")</f>
        <v>900</v>
      </c>
      <c r="CW41" s="19">
        <f t="shared" si="20"/>
        <v>2250</v>
      </c>
      <c r="CX41" s="20">
        <f t="shared" si="21"/>
        <v>112.5</v>
      </c>
      <c r="CY41" s="19">
        <f t="shared" si="7"/>
        <v>2137.5</v>
      </c>
      <c r="DH41" s="86" t="str">
        <f>'Billable Till Date'!B36 &amp; "-" &amp; 'Billable Till Date'!C36</f>
        <v>-</v>
      </c>
    </row>
    <row r="42" spans="2:112" x14ac:dyDescent="0.3">
      <c r="B42" s="3" t="s">
        <v>65</v>
      </c>
      <c r="C42" s="1" t="s">
        <v>28</v>
      </c>
      <c r="D42" s="4"/>
      <c r="E42" s="4" t="s">
        <v>72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8">
        <f t="shared" si="41"/>
        <v>0</v>
      </c>
      <c r="S42" s="8">
        <f t="shared" si="42"/>
        <v>0</v>
      </c>
      <c r="T42" s="19">
        <f>IFERROR(INDEX(Settings!$F:$F, MATCH('PROJECT NAME NOV'!$B42 &amp; "-" &amp; 'PROJECT NAME NOV'!$C42, Settings!$H:$H,0)), "")</f>
        <v>112.5</v>
      </c>
      <c r="U42" s="19">
        <f>IFERROR(INDEX(Settings!$G:$G, MATCH('PROJECT NAME NOV'!$B42 &amp; "-" &amp; 'PROJECT NAME NOV'!$C42, Settings!$H:$H, 0)), "")</f>
        <v>900</v>
      </c>
      <c r="V42" s="20">
        <f t="shared" si="25"/>
        <v>0</v>
      </c>
      <c r="W42" s="20">
        <f t="shared" si="22"/>
        <v>0</v>
      </c>
      <c r="X42" s="19">
        <f t="shared" si="8"/>
        <v>0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44">
        <f>IFERROR(INDEX(Settings!$F:$F, MATCH('PROJECT NAME NOV'!$B42 &amp; "-" &amp; 'PROJECT NAME NOV'!$C42, Settings!$H:$H,0)), "")</f>
        <v>112.5</v>
      </c>
      <c r="AN42" s="44">
        <f>IFERROR(INDEX(Settings!$G:$G, MATCH('PROJECT NAME NOV'!$B42 &amp; "-" &amp; 'PROJECT NAME NOV'!$C42, Settings!$H:$H, 0)), "")</f>
        <v>900</v>
      </c>
      <c r="AO42" s="21">
        <f t="shared" si="9"/>
        <v>0</v>
      </c>
      <c r="AP42" s="21">
        <f t="shared" si="10"/>
        <v>0</v>
      </c>
      <c r="AQ42" s="44">
        <f t="shared" si="11"/>
        <v>0</v>
      </c>
      <c r="AR42" s="44">
        <f t="shared" si="12"/>
        <v>0</v>
      </c>
      <c r="AS42" s="44">
        <f t="shared" si="13"/>
        <v>0</v>
      </c>
      <c r="AT42" s="59"/>
      <c r="AU42" s="21">
        <v>0</v>
      </c>
      <c r="AV42" s="21">
        <v>0</v>
      </c>
      <c r="AW42" s="21">
        <v>8</v>
      </c>
      <c r="AX42" s="21">
        <v>0</v>
      </c>
      <c r="AY42" s="21">
        <v>8</v>
      </c>
      <c r="AZ42" s="21">
        <v>0</v>
      </c>
      <c r="BA42" s="21">
        <v>8</v>
      </c>
      <c r="BB42" s="21">
        <v>4</v>
      </c>
      <c r="BC42" s="21">
        <v>8</v>
      </c>
      <c r="BD42" s="21">
        <v>6</v>
      </c>
      <c r="BE42" s="21">
        <v>8</v>
      </c>
      <c r="BF42" s="27">
        <v>6</v>
      </c>
      <c r="BG42" s="27">
        <v>8</v>
      </c>
      <c r="BH42" s="21">
        <v>6</v>
      </c>
      <c r="BI42" s="8">
        <f t="shared" si="14"/>
        <v>48</v>
      </c>
      <c r="BJ42" s="8">
        <f t="shared" si="15"/>
        <v>22</v>
      </c>
      <c r="BK42" s="19">
        <f>IFERROR(INDEX(Settings!$F:$F, MATCH('PROJECT NAME NOV'!$B42 &amp; "-" &amp; 'PROJECT NAME NOV'!$C42, Settings!$H:$H,0)), "")</f>
        <v>112.5</v>
      </c>
      <c r="BL42" s="19">
        <f>IFERROR(INDEX(Settings!$G:$G, MATCH('PROJECT NAME NOV'!$B42 &amp; "-" &amp; 'PROJECT NAME NOV'!$C42, Settings!$H:$H, 0)), "")</f>
        <v>900</v>
      </c>
      <c r="BM42" s="20">
        <f t="shared" si="26"/>
        <v>9112.5</v>
      </c>
      <c r="BN42" s="20">
        <f t="shared" si="23"/>
        <v>455.625</v>
      </c>
      <c r="BO42" s="19">
        <f t="shared" si="16"/>
        <v>8656.875</v>
      </c>
      <c r="BP42" s="54"/>
      <c r="BQ42" s="21">
        <v>8</v>
      </c>
      <c r="BR42" s="21">
        <v>4</v>
      </c>
      <c r="BS42" s="27">
        <v>8</v>
      </c>
      <c r="BT42" s="27">
        <v>4</v>
      </c>
      <c r="BU42" s="27">
        <v>8</v>
      </c>
      <c r="BV42" s="27">
        <v>0</v>
      </c>
      <c r="BW42" s="27">
        <v>8</v>
      </c>
      <c r="BX42" s="27">
        <v>4</v>
      </c>
      <c r="BY42" s="27">
        <v>8</v>
      </c>
      <c r="BZ42" s="27">
        <v>4</v>
      </c>
      <c r="CA42" s="27">
        <v>8</v>
      </c>
      <c r="CB42" s="27">
        <v>4</v>
      </c>
      <c r="CC42" s="27">
        <v>8</v>
      </c>
      <c r="CD42" s="27"/>
      <c r="CE42" s="8">
        <f t="shared" si="17"/>
        <v>56</v>
      </c>
      <c r="CF42" s="8">
        <f t="shared" si="18"/>
        <v>20</v>
      </c>
      <c r="CG42" s="19">
        <f>IFERROR(INDEX(Settings!$F:$F, MATCH('PROJECT NAME NOV'!$B42 &amp; "-" &amp; 'PROJECT NAME NOV'!$C42, Settings!$H:$H,0)), "")</f>
        <v>112.5</v>
      </c>
      <c r="CH42" s="19">
        <f>IFERROR(INDEX(Settings!$G:$G, MATCH('PROJECT NAME NOV'!$B42 &amp; "-" &amp; 'PROJECT NAME NOV'!$C42, Settings!$H:$H, 0)), "")</f>
        <v>900</v>
      </c>
      <c r="CI42" s="20">
        <f t="shared" si="27"/>
        <v>9675</v>
      </c>
      <c r="CJ42" s="20">
        <f t="shared" si="24"/>
        <v>483.75</v>
      </c>
      <c r="CK42" s="19">
        <f t="shared" si="19"/>
        <v>9191.25</v>
      </c>
      <c r="CM42" s="27">
        <v>8</v>
      </c>
      <c r="CN42" s="27">
        <v>4</v>
      </c>
      <c r="CO42" s="27">
        <v>8</v>
      </c>
      <c r="CP42" s="27"/>
      <c r="CQ42" s="27"/>
      <c r="CR42" s="27"/>
      <c r="CS42" s="8">
        <f t="shared" si="43"/>
        <v>16</v>
      </c>
      <c r="CT42" s="8">
        <f t="shared" si="44"/>
        <v>4</v>
      </c>
      <c r="CU42" s="19">
        <f>IFERROR(INDEX(Settings!$F:$F, MATCH('PROJECT NAME NOV'!$B42 &amp; "-" &amp; 'PROJECT NAME NOV'!$C42, Settings!$H:$H,0)), "")</f>
        <v>112.5</v>
      </c>
      <c r="CV42" s="19">
        <f>IFERROR(INDEX(Settings!$G:$G, MATCH('PROJECT NAME NOV'!$B42 &amp; "-" &amp; 'PROJECT NAME NOV'!$C42, Settings!$H:$H, 0)), "")</f>
        <v>900</v>
      </c>
      <c r="CW42" s="19">
        <f t="shared" si="20"/>
        <v>2250</v>
      </c>
      <c r="CX42" s="20">
        <f t="shared" si="21"/>
        <v>112.5</v>
      </c>
      <c r="CY42" s="19">
        <f t="shared" si="7"/>
        <v>2137.5</v>
      </c>
      <c r="DH42" s="87" t="str">
        <f>'Billable Till Date'!B37 &amp; "-" &amp; 'Billable Till Date'!C37</f>
        <v>-</v>
      </c>
    </row>
    <row r="43" spans="2:112" x14ac:dyDescent="0.3">
      <c r="B43" s="3" t="s">
        <v>65</v>
      </c>
      <c r="C43" s="1" t="s">
        <v>28</v>
      </c>
      <c r="D43" s="4"/>
      <c r="E43" s="4" t="s">
        <v>73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8">
        <f t="shared" si="41"/>
        <v>0</v>
      </c>
      <c r="S43" s="8">
        <f t="shared" si="42"/>
        <v>0</v>
      </c>
      <c r="T43" s="19">
        <f>IFERROR(INDEX(Settings!$F:$F, MATCH('PROJECT NAME NOV'!$B43 &amp; "-" &amp; 'PROJECT NAME NOV'!$C43, Settings!$H:$H,0)), "")</f>
        <v>112.5</v>
      </c>
      <c r="U43" s="19">
        <f>IFERROR(INDEX(Settings!$G:$G, MATCH('PROJECT NAME NOV'!$B43 &amp; "-" &amp; 'PROJECT NAME NOV'!$C43, Settings!$H:$H, 0)), "")</f>
        <v>900</v>
      </c>
      <c r="V43" s="20">
        <f t="shared" si="25"/>
        <v>0</v>
      </c>
      <c r="W43" s="20">
        <f t="shared" si="22"/>
        <v>0</v>
      </c>
      <c r="X43" s="19">
        <f t="shared" si="8"/>
        <v>0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44">
        <f>IFERROR(INDEX(Settings!$F:$F, MATCH('PROJECT NAME NOV'!$B43 &amp; "-" &amp; 'PROJECT NAME NOV'!$C43, Settings!$H:$H,0)), "")</f>
        <v>112.5</v>
      </c>
      <c r="AN43" s="44">
        <f>IFERROR(INDEX(Settings!$G:$G, MATCH('PROJECT NAME NOV'!$B43 &amp; "-" &amp; 'PROJECT NAME NOV'!$C43, Settings!$H:$H, 0)), "")</f>
        <v>900</v>
      </c>
      <c r="AO43" s="21">
        <f t="shared" si="9"/>
        <v>0</v>
      </c>
      <c r="AP43" s="21">
        <f t="shared" si="10"/>
        <v>0</v>
      </c>
      <c r="AQ43" s="44">
        <f t="shared" si="11"/>
        <v>0</v>
      </c>
      <c r="AR43" s="44">
        <f t="shared" si="12"/>
        <v>0</v>
      </c>
      <c r="AS43" s="44">
        <f t="shared" si="13"/>
        <v>0</v>
      </c>
      <c r="AT43" s="59"/>
      <c r="AU43" s="21">
        <v>0</v>
      </c>
      <c r="AV43" s="21">
        <v>0</v>
      </c>
      <c r="AW43" s="21">
        <v>8</v>
      </c>
      <c r="AX43" s="21">
        <v>0</v>
      </c>
      <c r="AY43" s="21">
        <v>8</v>
      </c>
      <c r="AZ43" s="21">
        <v>0</v>
      </c>
      <c r="BA43" s="21">
        <v>8</v>
      </c>
      <c r="BB43" s="21">
        <v>4</v>
      </c>
      <c r="BC43" s="21">
        <v>8</v>
      </c>
      <c r="BD43" s="21">
        <v>6</v>
      </c>
      <c r="BE43" s="21">
        <v>8</v>
      </c>
      <c r="BF43" s="27">
        <v>6</v>
      </c>
      <c r="BG43" s="27">
        <v>8</v>
      </c>
      <c r="BH43" s="21">
        <v>6</v>
      </c>
      <c r="BI43" s="8">
        <f t="shared" si="14"/>
        <v>48</v>
      </c>
      <c r="BJ43" s="8">
        <f t="shared" si="15"/>
        <v>22</v>
      </c>
      <c r="BK43" s="19">
        <f>IFERROR(INDEX(Settings!$F:$F, MATCH('PROJECT NAME NOV'!$B43 &amp; "-" &amp; 'PROJECT NAME NOV'!$C43, Settings!$H:$H,0)), "")</f>
        <v>112.5</v>
      </c>
      <c r="BL43" s="19">
        <f>IFERROR(INDEX(Settings!$G:$G, MATCH('PROJECT NAME NOV'!$B43 &amp; "-" &amp; 'PROJECT NAME NOV'!$C43, Settings!$H:$H, 0)), "")</f>
        <v>900</v>
      </c>
      <c r="BM43" s="20">
        <f t="shared" si="26"/>
        <v>9112.5</v>
      </c>
      <c r="BN43" s="20">
        <f t="shared" si="23"/>
        <v>455.625</v>
      </c>
      <c r="BO43" s="19">
        <f t="shared" si="16"/>
        <v>8656.875</v>
      </c>
      <c r="BP43" s="54"/>
      <c r="BQ43" s="21">
        <v>8</v>
      </c>
      <c r="BR43" s="21">
        <v>4</v>
      </c>
      <c r="BS43" s="27">
        <v>8</v>
      </c>
      <c r="BT43" s="27">
        <v>4</v>
      </c>
      <c r="BU43" s="27">
        <v>8</v>
      </c>
      <c r="BV43" s="27">
        <v>0</v>
      </c>
      <c r="BW43" s="27">
        <v>8</v>
      </c>
      <c r="BX43" s="27">
        <v>4</v>
      </c>
      <c r="BY43" s="27">
        <v>8</v>
      </c>
      <c r="BZ43" s="27">
        <v>4</v>
      </c>
      <c r="CA43" s="27">
        <v>8</v>
      </c>
      <c r="CB43" s="27">
        <v>4</v>
      </c>
      <c r="CC43" s="27">
        <v>8</v>
      </c>
      <c r="CD43" s="27"/>
      <c r="CE43" s="8">
        <f t="shared" si="17"/>
        <v>56</v>
      </c>
      <c r="CF43" s="8">
        <f t="shared" si="18"/>
        <v>20</v>
      </c>
      <c r="CG43" s="19">
        <f>IFERROR(INDEX(Settings!$F:$F, MATCH('PROJECT NAME NOV'!$B43 &amp; "-" &amp; 'PROJECT NAME NOV'!$C43, Settings!$H:$H,0)), "")</f>
        <v>112.5</v>
      </c>
      <c r="CH43" s="19">
        <f>IFERROR(INDEX(Settings!$G:$G, MATCH('PROJECT NAME NOV'!$B43 &amp; "-" &amp; 'PROJECT NAME NOV'!$C43, Settings!$H:$H, 0)), "")</f>
        <v>900</v>
      </c>
      <c r="CI43" s="20">
        <f t="shared" si="27"/>
        <v>9675</v>
      </c>
      <c r="CJ43" s="20">
        <f t="shared" si="24"/>
        <v>483.75</v>
      </c>
      <c r="CK43" s="19">
        <f t="shared" si="19"/>
        <v>9191.25</v>
      </c>
      <c r="CM43" s="27">
        <v>8</v>
      </c>
      <c r="CN43" s="27">
        <v>4</v>
      </c>
      <c r="CO43" s="27">
        <v>8</v>
      </c>
      <c r="CP43" s="27"/>
      <c r="CQ43" s="27"/>
      <c r="CR43" s="27"/>
      <c r="CS43" s="8">
        <f t="shared" si="43"/>
        <v>16</v>
      </c>
      <c r="CT43" s="8">
        <f t="shared" si="44"/>
        <v>4</v>
      </c>
      <c r="CU43" s="19">
        <f>IFERROR(INDEX(Settings!$F:$F, MATCH('PROJECT NAME NOV'!$B43 &amp; "-" &amp; 'PROJECT NAME NOV'!$C43, Settings!$H:$H,0)), "")</f>
        <v>112.5</v>
      </c>
      <c r="CV43" s="19">
        <f>IFERROR(INDEX(Settings!$G:$G, MATCH('PROJECT NAME NOV'!$B43 &amp; "-" &amp; 'PROJECT NAME NOV'!$C43, Settings!$H:$H, 0)), "")</f>
        <v>900</v>
      </c>
      <c r="CW43" s="19">
        <f t="shared" si="20"/>
        <v>2250</v>
      </c>
      <c r="CX43" s="20">
        <f t="shared" si="21"/>
        <v>112.5</v>
      </c>
      <c r="CY43" s="19">
        <f t="shared" si="7"/>
        <v>2137.5</v>
      </c>
      <c r="DH43" s="86" t="str">
        <f>'Billable Till Date'!B38 &amp; "-" &amp; 'Billable Till Date'!C38</f>
        <v>-</v>
      </c>
    </row>
    <row r="44" spans="2:112" x14ac:dyDescent="0.3">
      <c r="B44" s="3" t="s">
        <v>65</v>
      </c>
      <c r="C44" s="1" t="s">
        <v>28</v>
      </c>
      <c r="D44" s="4"/>
      <c r="E44" s="4" t="s">
        <v>74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8">
        <f t="shared" si="41"/>
        <v>0</v>
      </c>
      <c r="S44" s="8">
        <f t="shared" si="42"/>
        <v>0</v>
      </c>
      <c r="T44" s="19">
        <f>IFERROR(INDEX(Settings!$F:$F, MATCH('PROJECT NAME NOV'!$B44 &amp; "-" &amp; 'PROJECT NAME NOV'!$C44, Settings!$H:$H,0)), "")</f>
        <v>112.5</v>
      </c>
      <c r="U44" s="19">
        <f>IFERROR(INDEX(Settings!$G:$G, MATCH('PROJECT NAME NOV'!$B44 &amp; "-" &amp; 'PROJECT NAME NOV'!$C44, Settings!$H:$H, 0)), "")</f>
        <v>900</v>
      </c>
      <c r="V44" s="20">
        <f t="shared" si="25"/>
        <v>0</v>
      </c>
      <c r="W44" s="20">
        <f t="shared" si="22"/>
        <v>0</v>
      </c>
      <c r="X44" s="19">
        <f t="shared" si="8"/>
        <v>0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44">
        <f>IFERROR(INDEX(Settings!$F:$F, MATCH('PROJECT NAME NOV'!$B44 &amp; "-" &amp; 'PROJECT NAME NOV'!$C44, Settings!$H:$H,0)), "")</f>
        <v>112.5</v>
      </c>
      <c r="AN44" s="44">
        <f>IFERROR(INDEX(Settings!$G:$G, MATCH('PROJECT NAME NOV'!$B44 &amp; "-" &amp; 'PROJECT NAME NOV'!$C44, Settings!$H:$H, 0)), "")</f>
        <v>900</v>
      </c>
      <c r="AO44" s="21">
        <f t="shared" si="9"/>
        <v>0</v>
      </c>
      <c r="AP44" s="21">
        <f t="shared" si="10"/>
        <v>0</v>
      </c>
      <c r="AQ44" s="44">
        <f t="shared" si="11"/>
        <v>0</v>
      </c>
      <c r="AR44" s="44">
        <f t="shared" si="12"/>
        <v>0</v>
      </c>
      <c r="AS44" s="44">
        <f t="shared" si="13"/>
        <v>0</v>
      </c>
      <c r="AT44" s="59"/>
      <c r="AU44" s="21">
        <v>0</v>
      </c>
      <c r="AV44" s="21">
        <v>0</v>
      </c>
      <c r="AW44" s="21">
        <v>8</v>
      </c>
      <c r="AX44" s="21">
        <v>0</v>
      </c>
      <c r="AY44" s="21">
        <v>8</v>
      </c>
      <c r="AZ44" s="21">
        <v>0</v>
      </c>
      <c r="BA44" s="21">
        <v>8</v>
      </c>
      <c r="BB44" s="21">
        <v>4</v>
      </c>
      <c r="BC44" s="21">
        <v>8</v>
      </c>
      <c r="BD44" s="21">
        <v>6</v>
      </c>
      <c r="BE44" s="21">
        <v>8</v>
      </c>
      <c r="BF44" s="27">
        <v>6</v>
      </c>
      <c r="BG44" s="27">
        <v>8</v>
      </c>
      <c r="BH44" s="21">
        <v>6</v>
      </c>
      <c r="BI44" s="8">
        <f t="shared" si="14"/>
        <v>48</v>
      </c>
      <c r="BJ44" s="8">
        <f t="shared" si="15"/>
        <v>22</v>
      </c>
      <c r="BK44" s="19">
        <f>IFERROR(INDEX(Settings!$F:$F, MATCH('PROJECT NAME NOV'!$B44 &amp; "-" &amp; 'PROJECT NAME NOV'!$C44, Settings!$H:$H,0)), "")</f>
        <v>112.5</v>
      </c>
      <c r="BL44" s="19">
        <f>IFERROR(INDEX(Settings!$G:$G, MATCH('PROJECT NAME NOV'!$B44 &amp; "-" &amp; 'PROJECT NAME NOV'!$C44, Settings!$H:$H, 0)), "")</f>
        <v>900</v>
      </c>
      <c r="BM44" s="20">
        <f t="shared" si="26"/>
        <v>9112.5</v>
      </c>
      <c r="BN44" s="20">
        <f t="shared" si="23"/>
        <v>455.625</v>
      </c>
      <c r="BO44" s="19">
        <f t="shared" si="16"/>
        <v>8656.875</v>
      </c>
      <c r="BP44" s="54"/>
      <c r="BQ44" s="21">
        <v>8</v>
      </c>
      <c r="BR44" s="21">
        <v>4</v>
      </c>
      <c r="BS44" s="27">
        <v>8</v>
      </c>
      <c r="BT44" s="27">
        <v>4</v>
      </c>
      <c r="BU44" s="27">
        <v>8</v>
      </c>
      <c r="BV44" s="27">
        <v>0</v>
      </c>
      <c r="BW44" s="27">
        <v>8</v>
      </c>
      <c r="BX44" s="27">
        <v>4</v>
      </c>
      <c r="BY44" s="27">
        <v>8</v>
      </c>
      <c r="BZ44" s="27">
        <v>4</v>
      </c>
      <c r="CA44" s="27">
        <v>8</v>
      </c>
      <c r="CB44" s="27">
        <v>4</v>
      </c>
      <c r="CC44" s="27">
        <v>8</v>
      </c>
      <c r="CD44" s="27">
        <v>3</v>
      </c>
      <c r="CE44" s="8">
        <f t="shared" si="17"/>
        <v>56</v>
      </c>
      <c r="CF44" s="8">
        <f t="shared" si="18"/>
        <v>23</v>
      </c>
      <c r="CG44" s="19">
        <f>IFERROR(INDEX(Settings!$F:$F, MATCH('PROJECT NAME NOV'!$B44 &amp; "-" &amp; 'PROJECT NAME NOV'!$C44, Settings!$H:$H,0)), "")</f>
        <v>112.5</v>
      </c>
      <c r="CH44" s="19">
        <f>IFERROR(INDEX(Settings!$G:$G, MATCH('PROJECT NAME NOV'!$B44 &amp; "-" &amp; 'PROJECT NAME NOV'!$C44, Settings!$H:$H, 0)), "")</f>
        <v>900</v>
      </c>
      <c r="CI44" s="20">
        <f t="shared" si="27"/>
        <v>10181.25</v>
      </c>
      <c r="CJ44" s="20">
        <f t="shared" si="24"/>
        <v>509.0625</v>
      </c>
      <c r="CK44" s="19">
        <f t="shared" si="19"/>
        <v>9672.1875</v>
      </c>
      <c r="CM44" s="27">
        <v>8</v>
      </c>
      <c r="CN44" s="27">
        <v>4</v>
      </c>
      <c r="CO44" s="27">
        <v>8</v>
      </c>
      <c r="CP44" s="27"/>
      <c r="CQ44" s="27"/>
      <c r="CR44" s="27"/>
      <c r="CS44" s="8">
        <f t="shared" si="43"/>
        <v>16</v>
      </c>
      <c r="CT44" s="8">
        <f t="shared" si="44"/>
        <v>4</v>
      </c>
      <c r="CU44" s="19">
        <f>IFERROR(INDEX(Settings!$F:$F, MATCH('PROJECT NAME NOV'!$B44 &amp; "-" &amp; 'PROJECT NAME NOV'!$C44, Settings!$H:$H,0)), "")</f>
        <v>112.5</v>
      </c>
      <c r="CV44" s="19">
        <f>IFERROR(INDEX(Settings!$G:$G, MATCH('PROJECT NAME NOV'!$B44 &amp; "-" &amp; 'PROJECT NAME NOV'!$C44, Settings!$H:$H, 0)), "")</f>
        <v>900</v>
      </c>
      <c r="CW44" s="19">
        <f t="shared" si="20"/>
        <v>2250</v>
      </c>
      <c r="CX44" s="20">
        <f t="shared" si="21"/>
        <v>112.5</v>
      </c>
      <c r="CY44" s="19">
        <f t="shared" si="7"/>
        <v>2137.5</v>
      </c>
      <c r="DH44" s="87" t="str">
        <f>'Billable Till Date'!B39 &amp; "-" &amp; 'Billable Till Date'!C39</f>
        <v>-</v>
      </c>
    </row>
    <row r="45" spans="2:112" x14ac:dyDescent="0.3">
      <c r="B45" s="3" t="s">
        <v>65</v>
      </c>
      <c r="C45" s="1" t="s">
        <v>29</v>
      </c>
      <c r="D45" s="4"/>
      <c r="E45" s="4" t="s">
        <v>75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8">
        <f t="shared" si="41"/>
        <v>0</v>
      </c>
      <c r="S45" s="8">
        <f t="shared" si="42"/>
        <v>0</v>
      </c>
      <c r="T45" s="19">
        <f>IFERROR(INDEX(Settings!$F:$F, MATCH('PROJECT NAME NOV'!$B45 &amp; "-" &amp; 'PROJECT NAME NOV'!$C45, Settings!$H:$H,0)), "")</f>
        <v>106.25</v>
      </c>
      <c r="U45" s="19">
        <f>IFERROR(INDEX(Settings!$G:$G, MATCH('PROJECT NAME NOV'!$B45 &amp; "-" &amp; 'PROJECT NAME NOV'!$C45, Settings!$H:$H, 0)), "")</f>
        <v>850</v>
      </c>
      <c r="V45" s="20">
        <f t="shared" si="25"/>
        <v>0</v>
      </c>
      <c r="W45" s="20">
        <f t="shared" si="22"/>
        <v>0</v>
      </c>
      <c r="X45" s="19">
        <f t="shared" si="8"/>
        <v>0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44">
        <f>IFERROR(INDEX(Settings!$F:$F, MATCH('PROJECT NAME NOV'!$B45 &amp; "-" &amp; 'PROJECT NAME NOV'!$C45, Settings!$H:$H,0)), "")</f>
        <v>106.25</v>
      </c>
      <c r="AN45" s="44">
        <f>IFERROR(INDEX(Settings!$G:$G, MATCH('PROJECT NAME NOV'!$B45 &amp; "-" &amp; 'PROJECT NAME NOV'!$C45, Settings!$H:$H, 0)), "")</f>
        <v>850</v>
      </c>
      <c r="AO45" s="21">
        <f t="shared" si="9"/>
        <v>0</v>
      </c>
      <c r="AP45" s="21">
        <f t="shared" si="10"/>
        <v>0</v>
      </c>
      <c r="AQ45" s="44">
        <f t="shared" si="11"/>
        <v>0</v>
      </c>
      <c r="AR45" s="44">
        <f t="shared" si="12"/>
        <v>0</v>
      </c>
      <c r="AS45" s="44">
        <f t="shared" si="13"/>
        <v>0</v>
      </c>
      <c r="AT45" s="59"/>
      <c r="AU45" s="21">
        <v>0</v>
      </c>
      <c r="AV45" s="21">
        <v>0</v>
      </c>
      <c r="AW45" s="21">
        <v>8</v>
      </c>
      <c r="AX45" s="21">
        <v>0</v>
      </c>
      <c r="AY45" s="21">
        <v>8</v>
      </c>
      <c r="AZ45" s="21">
        <v>0</v>
      </c>
      <c r="BA45" s="21">
        <v>8</v>
      </c>
      <c r="BB45" s="21">
        <v>4</v>
      </c>
      <c r="BC45" s="21">
        <v>8</v>
      </c>
      <c r="BD45" s="21">
        <v>6</v>
      </c>
      <c r="BE45" s="21">
        <v>8</v>
      </c>
      <c r="BF45" s="27">
        <v>6</v>
      </c>
      <c r="BG45" s="27">
        <v>8</v>
      </c>
      <c r="BH45" s="21">
        <v>6</v>
      </c>
      <c r="BI45" s="8">
        <f t="shared" si="14"/>
        <v>48</v>
      </c>
      <c r="BJ45" s="8">
        <f t="shared" si="15"/>
        <v>22</v>
      </c>
      <c r="BK45" s="19">
        <f>IFERROR(INDEX(Settings!$F:$F, MATCH('PROJECT NAME NOV'!$B45 &amp; "-" &amp; 'PROJECT NAME NOV'!$C45, Settings!$H:$H,0)), "")</f>
        <v>106.25</v>
      </c>
      <c r="BL45" s="19">
        <f>IFERROR(INDEX(Settings!$G:$G, MATCH('PROJECT NAME NOV'!$B45 &amp; "-" &amp; 'PROJECT NAME NOV'!$C45, Settings!$H:$H, 0)), "")</f>
        <v>850</v>
      </c>
      <c r="BM45" s="20">
        <f t="shared" si="26"/>
        <v>8606.25</v>
      </c>
      <c r="BN45" s="20">
        <f t="shared" si="23"/>
        <v>430.3125</v>
      </c>
      <c r="BO45" s="19">
        <f t="shared" si="16"/>
        <v>8175.9375</v>
      </c>
      <c r="BP45" s="54"/>
      <c r="BQ45" s="21">
        <v>8</v>
      </c>
      <c r="BR45" s="21">
        <v>4</v>
      </c>
      <c r="BS45" s="27">
        <v>8</v>
      </c>
      <c r="BT45" s="27">
        <v>4</v>
      </c>
      <c r="BU45" s="27">
        <v>8</v>
      </c>
      <c r="BV45" s="27">
        <v>0</v>
      </c>
      <c r="BW45" s="27">
        <v>8</v>
      </c>
      <c r="BX45" s="27">
        <v>4</v>
      </c>
      <c r="BY45" s="27">
        <v>8</v>
      </c>
      <c r="BZ45" s="27">
        <v>4</v>
      </c>
      <c r="CA45" s="27">
        <v>8</v>
      </c>
      <c r="CB45" s="27">
        <v>4</v>
      </c>
      <c r="CC45" s="27">
        <v>8</v>
      </c>
      <c r="CD45" s="27"/>
      <c r="CE45" s="8">
        <f t="shared" si="17"/>
        <v>56</v>
      </c>
      <c r="CF45" s="8">
        <f t="shared" si="18"/>
        <v>20</v>
      </c>
      <c r="CG45" s="19">
        <f>IFERROR(INDEX(Settings!$F:$F, MATCH('PROJECT NAME NOV'!$B45 &amp; "-" &amp; 'PROJECT NAME NOV'!$C45, Settings!$H:$H,0)), "")</f>
        <v>106.25</v>
      </c>
      <c r="CH45" s="19">
        <f>IFERROR(INDEX(Settings!$G:$G, MATCH('PROJECT NAME NOV'!$B45 &amp; "-" &amp; 'PROJECT NAME NOV'!$C45, Settings!$H:$H, 0)), "")</f>
        <v>850</v>
      </c>
      <c r="CI45" s="20">
        <f t="shared" si="27"/>
        <v>9137.5</v>
      </c>
      <c r="CJ45" s="20">
        <f t="shared" si="24"/>
        <v>456.875</v>
      </c>
      <c r="CK45" s="19">
        <f t="shared" si="19"/>
        <v>8680.625</v>
      </c>
      <c r="CM45" s="27">
        <v>8</v>
      </c>
      <c r="CN45" s="27">
        <v>4</v>
      </c>
      <c r="CO45" s="27">
        <v>8</v>
      </c>
      <c r="CP45" s="27"/>
      <c r="CQ45" s="27"/>
      <c r="CR45" s="27"/>
      <c r="CS45" s="8">
        <f t="shared" si="43"/>
        <v>16</v>
      </c>
      <c r="CT45" s="8">
        <f t="shared" si="44"/>
        <v>4</v>
      </c>
      <c r="CU45" s="19">
        <f>IFERROR(INDEX(Settings!$F:$F, MATCH('PROJECT NAME NOV'!$B45 &amp; "-" &amp; 'PROJECT NAME NOV'!$C45, Settings!$H:$H,0)), "")</f>
        <v>106.25</v>
      </c>
      <c r="CV45" s="19">
        <f>IFERROR(INDEX(Settings!$G:$G, MATCH('PROJECT NAME NOV'!$B45 &amp; "-" &amp; 'PROJECT NAME NOV'!$C45, Settings!$H:$H, 0)), "")</f>
        <v>850</v>
      </c>
      <c r="CW45" s="19">
        <f t="shared" si="20"/>
        <v>2125</v>
      </c>
      <c r="CX45" s="20">
        <f t="shared" si="21"/>
        <v>106.25</v>
      </c>
      <c r="CY45" s="19">
        <f t="shared" ref="CY45:CY103" si="45">CW45-CX45</f>
        <v>2018.75</v>
      </c>
      <c r="DH45" s="86" t="str">
        <f>'Billable Till Date'!B40 &amp; "-" &amp; 'Billable Till Date'!C40</f>
        <v>-</v>
      </c>
    </row>
    <row r="46" spans="2:112" x14ac:dyDescent="0.3">
      <c r="B46" s="3" t="s">
        <v>65</v>
      </c>
      <c r="C46" s="1" t="s">
        <v>29</v>
      </c>
      <c r="D46" s="4"/>
      <c r="E46" s="4" t="s">
        <v>76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8">
        <f t="shared" si="41"/>
        <v>0</v>
      </c>
      <c r="S46" s="8">
        <f t="shared" si="42"/>
        <v>0</v>
      </c>
      <c r="T46" s="19">
        <f>IFERROR(INDEX(Settings!$F:$F, MATCH('PROJECT NAME NOV'!$B46 &amp; "-" &amp; 'PROJECT NAME NOV'!$C46, Settings!$H:$H,0)), "")</f>
        <v>106.25</v>
      </c>
      <c r="U46" s="19">
        <f>IFERROR(INDEX(Settings!$G:$G, MATCH('PROJECT NAME NOV'!$B46 &amp; "-" &amp; 'PROJECT NAME NOV'!$C46, Settings!$H:$H, 0)), "")</f>
        <v>850</v>
      </c>
      <c r="V46" s="20">
        <f t="shared" si="25"/>
        <v>0</v>
      </c>
      <c r="W46" s="20">
        <f t="shared" si="22"/>
        <v>0</v>
      </c>
      <c r="X46" s="19">
        <f t="shared" si="8"/>
        <v>0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44">
        <f>IFERROR(INDEX(Settings!$F:$F, MATCH('PROJECT NAME NOV'!$B46 &amp; "-" &amp; 'PROJECT NAME NOV'!$C46, Settings!$H:$H,0)), "")</f>
        <v>106.25</v>
      </c>
      <c r="AN46" s="44">
        <f>IFERROR(INDEX(Settings!$G:$G, MATCH('PROJECT NAME NOV'!$B46 &amp; "-" &amp; 'PROJECT NAME NOV'!$C46, Settings!$H:$H, 0)), "")</f>
        <v>850</v>
      </c>
      <c r="AO46" s="21">
        <f t="shared" si="9"/>
        <v>0</v>
      </c>
      <c r="AP46" s="21">
        <f t="shared" si="10"/>
        <v>0</v>
      </c>
      <c r="AQ46" s="44">
        <f t="shared" si="11"/>
        <v>0</v>
      </c>
      <c r="AR46" s="44">
        <f t="shared" si="12"/>
        <v>0</v>
      </c>
      <c r="AS46" s="44">
        <f t="shared" si="13"/>
        <v>0</v>
      </c>
      <c r="AT46" s="59"/>
      <c r="AU46" s="21">
        <v>0</v>
      </c>
      <c r="AV46" s="21">
        <v>0</v>
      </c>
      <c r="AW46" s="21">
        <v>8</v>
      </c>
      <c r="AX46" s="21">
        <v>0</v>
      </c>
      <c r="AY46" s="21">
        <v>8</v>
      </c>
      <c r="AZ46" s="21">
        <v>0</v>
      </c>
      <c r="BA46" s="21">
        <v>8</v>
      </c>
      <c r="BB46" s="21">
        <v>4</v>
      </c>
      <c r="BC46" s="21">
        <v>8</v>
      </c>
      <c r="BD46" s="21">
        <v>6</v>
      </c>
      <c r="BE46" s="21">
        <v>8</v>
      </c>
      <c r="BF46" s="27">
        <v>6</v>
      </c>
      <c r="BG46" s="27">
        <v>8</v>
      </c>
      <c r="BH46" s="21">
        <v>6</v>
      </c>
      <c r="BI46" s="8">
        <f t="shared" si="14"/>
        <v>48</v>
      </c>
      <c r="BJ46" s="8">
        <f t="shared" si="15"/>
        <v>22</v>
      </c>
      <c r="BK46" s="19">
        <f>IFERROR(INDEX(Settings!$F:$F, MATCH('PROJECT NAME NOV'!$B46 &amp; "-" &amp; 'PROJECT NAME NOV'!$C46, Settings!$H:$H,0)), "")</f>
        <v>106.25</v>
      </c>
      <c r="BL46" s="19">
        <f>IFERROR(INDEX(Settings!$G:$G, MATCH('PROJECT NAME NOV'!$B46 &amp; "-" &amp; 'PROJECT NAME NOV'!$C46, Settings!$H:$H, 0)), "")</f>
        <v>850</v>
      </c>
      <c r="BM46" s="20">
        <f t="shared" si="26"/>
        <v>8606.25</v>
      </c>
      <c r="BN46" s="20">
        <f t="shared" si="23"/>
        <v>430.3125</v>
      </c>
      <c r="BO46" s="19">
        <f t="shared" si="16"/>
        <v>8175.9375</v>
      </c>
      <c r="BP46" s="54"/>
      <c r="BQ46" s="21">
        <v>8</v>
      </c>
      <c r="BR46" s="21">
        <v>4</v>
      </c>
      <c r="BS46" s="27">
        <v>8</v>
      </c>
      <c r="BT46" s="27">
        <v>4</v>
      </c>
      <c r="BU46" s="27">
        <v>8</v>
      </c>
      <c r="BV46" s="27">
        <v>0</v>
      </c>
      <c r="BW46" s="27">
        <v>8</v>
      </c>
      <c r="BX46" s="27">
        <v>4</v>
      </c>
      <c r="BY46" s="27">
        <v>8</v>
      </c>
      <c r="BZ46" s="27">
        <v>4</v>
      </c>
      <c r="CA46" s="27">
        <v>8</v>
      </c>
      <c r="CB46" s="27">
        <v>4</v>
      </c>
      <c r="CC46" s="27">
        <v>8</v>
      </c>
      <c r="CD46" s="27"/>
      <c r="CE46" s="8">
        <f t="shared" si="17"/>
        <v>56</v>
      </c>
      <c r="CF46" s="8">
        <f t="shared" si="18"/>
        <v>20</v>
      </c>
      <c r="CG46" s="19">
        <f>IFERROR(INDEX(Settings!$F:$F, MATCH('PROJECT NAME NOV'!$B46 &amp; "-" &amp; 'PROJECT NAME NOV'!$C46, Settings!$H:$H,0)), "")</f>
        <v>106.25</v>
      </c>
      <c r="CH46" s="19">
        <f>IFERROR(INDEX(Settings!$G:$G, MATCH('PROJECT NAME NOV'!$B46 &amp; "-" &amp; 'PROJECT NAME NOV'!$C46, Settings!$H:$H, 0)), "")</f>
        <v>850</v>
      </c>
      <c r="CI46" s="20">
        <f t="shared" si="27"/>
        <v>9137.5</v>
      </c>
      <c r="CJ46" s="20">
        <f t="shared" si="24"/>
        <v>456.875</v>
      </c>
      <c r="CK46" s="19">
        <f t="shared" si="19"/>
        <v>8680.625</v>
      </c>
      <c r="CM46" s="27">
        <v>8</v>
      </c>
      <c r="CN46" s="27">
        <v>4</v>
      </c>
      <c r="CO46" s="27">
        <v>8</v>
      </c>
      <c r="CP46" s="27"/>
      <c r="CQ46" s="27"/>
      <c r="CR46" s="27"/>
      <c r="CS46" s="8">
        <f t="shared" si="43"/>
        <v>16</v>
      </c>
      <c r="CT46" s="8">
        <f t="shared" si="44"/>
        <v>4</v>
      </c>
      <c r="CU46" s="19">
        <f>IFERROR(INDEX(Settings!$F:$F, MATCH('PROJECT NAME NOV'!$B46 &amp; "-" &amp; 'PROJECT NAME NOV'!$C46, Settings!$H:$H,0)), "")</f>
        <v>106.25</v>
      </c>
      <c r="CV46" s="19">
        <f>IFERROR(INDEX(Settings!$G:$G, MATCH('PROJECT NAME NOV'!$B46 &amp; "-" &amp; 'PROJECT NAME NOV'!$C46, Settings!$H:$H, 0)), "")</f>
        <v>850</v>
      </c>
      <c r="CW46" s="19">
        <f t="shared" si="20"/>
        <v>2125</v>
      </c>
      <c r="CX46" s="20">
        <f t="shared" si="21"/>
        <v>106.25</v>
      </c>
      <c r="CY46" s="19">
        <f t="shared" si="45"/>
        <v>2018.75</v>
      </c>
      <c r="DH46" s="87" t="str">
        <f>'Billable Till Date'!B41 &amp; "-" &amp; 'Billable Till Date'!C41</f>
        <v>-</v>
      </c>
    </row>
    <row r="47" spans="2:112" x14ac:dyDescent="0.3">
      <c r="B47" s="3" t="s">
        <v>65</v>
      </c>
      <c r="C47" s="1" t="s">
        <v>29</v>
      </c>
      <c r="D47" s="4"/>
      <c r="E47" s="4" t="s">
        <v>77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8">
        <f t="shared" si="41"/>
        <v>0</v>
      </c>
      <c r="S47" s="8">
        <f t="shared" si="42"/>
        <v>0</v>
      </c>
      <c r="T47" s="19">
        <f>IFERROR(INDEX(Settings!$F:$F, MATCH('PROJECT NAME NOV'!$B47 &amp; "-" &amp; 'PROJECT NAME NOV'!$C47, Settings!$H:$H,0)), "")</f>
        <v>106.25</v>
      </c>
      <c r="U47" s="19">
        <f>IFERROR(INDEX(Settings!$G:$G, MATCH('PROJECT NAME NOV'!$B47 &amp; "-" &amp; 'PROJECT NAME NOV'!$C47, Settings!$H:$H, 0)), "")</f>
        <v>850</v>
      </c>
      <c r="V47" s="20">
        <f t="shared" si="25"/>
        <v>0</v>
      </c>
      <c r="W47" s="20">
        <f t="shared" si="22"/>
        <v>0</v>
      </c>
      <c r="X47" s="19">
        <f t="shared" si="8"/>
        <v>0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44">
        <f>IFERROR(INDEX(Settings!$F:$F, MATCH('PROJECT NAME NOV'!$B47 &amp; "-" &amp; 'PROJECT NAME NOV'!$C47, Settings!$H:$H,0)), "")</f>
        <v>106.25</v>
      </c>
      <c r="AN47" s="44">
        <f>IFERROR(INDEX(Settings!$G:$G, MATCH('PROJECT NAME NOV'!$B47 &amp; "-" &amp; 'PROJECT NAME NOV'!$C47, Settings!$H:$H, 0)), "")</f>
        <v>850</v>
      </c>
      <c r="AO47" s="21">
        <f t="shared" si="9"/>
        <v>0</v>
      </c>
      <c r="AP47" s="21">
        <f t="shared" si="10"/>
        <v>0</v>
      </c>
      <c r="AQ47" s="44">
        <f t="shared" si="11"/>
        <v>0</v>
      </c>
      <c r="AR47" s="44">
        <f t="shared" si="12"/>
        <v>0</v>
      </c>
      <c r="AS47" s="44">
        <f t="shared" si="13"/>
        <v>0</v>
      </c>
      <c r="AT47" s="59"/>
      <c r="AU47" s="21">
        <v>0</v>
      </c>
      <c r="AV47" s="21">
        <v>0</v>
      </c>
      <c r="AW47" s="21">
        <v>8</v>
      </c>
      <c r="AX47" s="21">
        <v>0</v>
      </c>
      <c r="AY47" s="21">
        <v>8</v>
      </c>
      <c r="AZ47" s="21">
        <v>0</v>
      </c>
      <c r="BA47" s="21">
        <v>8</v>
      </c>
      <c r="BB47" s="21">
        <v>4</v>
      </c>
      <c r="BC47" s="21">
        <v>8</v>
      </c>
      <c r="BD47" s="21">
        <v>6</v>
      </c>
      <c r="BE47" s="21">
        <v>8</v>
      </c>
      <c r="BF47" s="27">
        <v>6</v>
      </c>
      <c r="BG47" s="27">
        <v>8</v>
      </c>
      <c r="BH47" s="21">
        <v>6</v>
      </c>
      <c r="BI47" s="8">
        <f t="shared" si="14"/>
        <v>48</v>
      </c>
      <c r="BJ47" s="8">
        <f t="shared" si="15"/>
        <v>22</v>
      </c>
      <c r="BK47" s="19">
        <f>IFERROR(INDEX(Settings!$F:$F, MATCH('PROJECT NAME NOV'!$B47 &amp; "-" &amp; 'PROJECT NAME NOV'!$C47, Settings!$H:$H,0)), "")</f>
        <v>106.25</v>
      </c>
      <c r="BL47" s="19">
        <f>IFERROR(INDEX(Settings!$G:$G, MATCH('PROJECT NAME NOV'!$B47 &amp; "-" &amp; 'PROJECT NAME NOV'!$C47, Settings!$H:$H, 0)), "")</f>
        <v>850</v>
      </c>
      <c r="BM47" s="20">
        <f t="shared" si="26"/>
        <v>8606.25</v>
      </c>
      <c r="BN47" s="20">
        <f t="shared" si="23"/>
        <v>430.3125</v>
      </c>
      <c r="BO47" s="19">
        <f t="shared" si="16"/>
        <v>8175.9375</v>
      </c>
      <c r="BP47" s="54"/>
      <c r="BQ47" s="21">
        <v>8</v>
      </c>
      <c r="BR47" s="21">
        <v>4</v>
      </c>
      <c r="BS47" s="27">
        <v>8</v>
      </c>
      <c r="BT47" s="27">
        <v>4</v>
      </c>
      <c r="BU47" s="27">
        <v>8</v>
      </c>
      <c r="BV47" s="27">
        <v>0</v>
      </c>
      <c r="BW47" s="27">
        <v>8</v>
      </c>
      <c r="BX47" s="27">
        <v>4</v>
      </c>
      <c r="BY47" s="27">
        <v>8</v>
      </c>
      <c r="BZ47" s="27">
        <v>4</v>
      </c>
      <c r="CA47" s="27">
        <v>8</v>
      </c>
      <c r="CB47" s="27">
        <v>4</v>
      </c>
      <c r="CC47" s="27">
        <v>8</v>
      </c>
      <c r="CD47" s="27"/>
      <c r="CE47" s="8">
        <f t="shared" si="17"/>
        <v>56</v>
      </c>
      <c r="CF47" s="8">
        <f t="shared" si="18"/>
        <v>20</v>
      </c>
      <c r="CG47" s="19">
        <f>IFERROR(INDEX(Settings!$F:$F, MATCH('PROJECT NAME NOV'!$B47 &amp; "-" &amp; 'PROJECT NAME NOV'!$C47, Settings!$H:$H,0)), "")</f>
        <v>106.25</v>
      </c>
      <c r="CH47" s="19">
        <f>IFERROR(INDEX(Settings!$G:$G, MATCH('PROJECT NAME NOV'!$B47 &amp; "-" &amp; 'PROJECT NAME NOV'!$C47, Settings!$H:$H, 0)), "")</f>
        <v>850</v>
      </c>
      <c r="CI47" s="20">
        <f t="shared" si="27"/>
        <v>9137.5</v>
      </c>
      <c r="CJ47" s="20">
        <f t="shared" si="24"/>
        <v>456.875</v>
      </c>
      <c r="CK47" s="19">
        <f t="shared" si="19"/>
        <v>8680.625</v>
      </c>
      <c r="CM47" s="27">
        <v>8</v>
      </c>
      <c r="CN47" s="27">
        <v>4</v>
      </c>
      <c r="CO47" s="27">
        <v>8</v>
      </c>
      <c r="CP47" s="27"/>
      <c r="CQ47" s="27"/>
      <c r="CR47" s="27"/>
      <c r="CS47" s="8">
        <f t="shared" si="43"/>
        <v>16</v>
      </c>
      <c r="CT47" s="8">
        <f t="shared" si="44"/>
        <v>4</v>
      </c>
      <c r="CU47" s="19">
        <f>IFERROR(INDEX(Settings!$F:$F, MATCH('PROJECT NAME NOV'!$B47 &amp; "-" &amp; 'PROJECT NAME NOV'!$C47, Settings!$H:$H,0)), "")</f>
        <v>106.25</v>
      </c>
      <c r="CV47" s="19">
        <f>IFERROR(INDEX(Settings!$G:$G, MATCH('PROJECT NAME NOV'!$B47 &amp; "-" &amp; 'PROJECT NAME NOV'!$C47, Settings!$H:$H, 0)), "")</f>
        <v>850</v>
      </c>
      <c r="CW47" s="19">
        <f t="shared" si="20"/>
        <v>2125</v>
      </c>
      <c r="CX47" s="20">
        <f t="shared" si="21"/>
        <v>106.25</v>
      </c>
      <c r="CY47" s="19">
        <f t="shared" si="45"/>
        <v>2018.75</v>
      </c>
      <c r="DH47" s="86" t="str">
        <f>'Billable Till Date'!B42 &amp; "-" &amp; 'Billable Till Date'!C42</f>
        <v>-</v>
      </c>
    </row>
    <row r="48" spans="2:112" x14ac:dyDescent="0.3">
      <c r="B48" s="3" t="s">
        <v>65</v>
      </c>
      <c r="C48" s="1" t="s">
        <v>29</v>
      </c>
      <c r="D48" s="4"/>
      <c r="E48" s="4" t="s">
        <v>187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8">
        <f t="shared" si="41"/>
        <v>0</v>
      </c>
      <c r="S48" s="8">
        <f t="shared" si="42"/>
        <v>0</v>
      </c>
      <c r="T48" s="19">
        <f>IFERROR(INDEX(Settings!$F:$F, MATCH('PROJECT NAME NOV'!$B48 &amp; "-" &amp; 'PROJECT NAME NOV'!$C48, Settings!$H:$H,0)), "")</f>
        <v>106.25</v>
      </c>
      <c r="U48" s="19">
        <f>IFERROR(INDEX(Settings!$G:$G, MATCH('PROJECT NAME NOV'!$B48 &amp; "-" &amp; 'PROJECT NAME NOV'!$C48, Settings!$H:$H, 0)), "")</f>
        <v>850</v>
      </c>
      <c r="V48" s="20">
        <f t="shared" si="25"/>
        <v>0</v>
      </c>
      <c r="W48" s="20">
        <f t="shared" si="22"/>
        <v>0</v>
      </c>
      <c r="X48" s="19">
        <f t="shared" si="8"/>
        <v>0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44">
        <f>IFERROR(INDEX(Settings!$F:$F, MATCH('PROJECT NAME NOV'!$B48 &amp; "-" &amp; 'PROJECT NAME NOV'!$C48, Settings!$H:$H,0)), "")</f>
        <v>106.25</v>
      </c>
      <c r="AN48" s="44">
        <f>IFERROR(INDEX(Settings!$G:$G, MATCH('PROJECT NAME NOV'!$B48 &amp; "-" &amp; 'PROJECT NAME NOV'!$C48, Settings!$H:$H, 0)), "")</f>
        <v>850</v>
      </c>
      <c r="AO48" s="21">
        <f t="shared" si="9"/>
        <v>0</v>
      </c>
      <c r="AP48" s="21">
        <f t="shared" si="10"/>
        <v>0</v>
      </c>
      <c r="AQ48" s="44">
        <f t="shared" si="11"/>
        <v>0</v>
      </c>
      <c r="AR48" s="44">
        <f t="shared" si="12"/>
        <v>0</v>
      </c>
      <c r="AS48" s="44">
        <f t="shared" si="13"/>
        <v>0</v>
      </c>
      <c r="AT48" s="59"/>
      <c r="AU48" s="21">
        <v>0</v>
      </c>
      <c r="AV48" s="21">
        <v>0</v>
      </c>
      <c r="AW48" s="21">
        <v>8</v>
      </c>
      <c r="AX48" s="21">
        <v>0</v>
      </c>
      <c r="AY48" s="21">
        <v>8</v>
      </c>
      <c r="AZ48" s="21">
        <v>0</v>
      </c>
      <c r="BA48" s="21">
        <v>8</v>
      </c>
      <c r="BB48" s="21">
        <v>0</v>
      </c>
      <c r="BC48" s="21">
        <v>8</v>
      </c>
      <c r="BD48" s="21">
        <v>6</v>
      </c>
      <c r="BE48" s="21">
        <v>8</v>
      </c>
      <c r="BF48" s="27">
        <v>6</v>
      </c>
      <c r="BG48" s="27">
        <v>8</v>
      </c>
      <c r="BH48" s="21">
        <v>6</v>
      </c>
      <c r="BI48" s="8">
        <f t="shared" si="14"/>
        <v>48</v>
      </c>
      <c r="BJ48" s="8">
        <f t="shared" si="15"/>
        <v>18</v>
      </c>
      <c r="BK48" s="19">
        <f>IFERROR(INDEX(Settings!$F:$F, MATCH('PROJECT NAME NOV'!$B48 &amp; "-" &amp; 'PROJECT NAME NOV'!$C48, Settings!$H:$H,0)), "")</f>
        <v>106.25</v>
      </c>
      <c r="BL48" s="19">
        <f>IFERROR(INDEX(Settings!$G:$G, MATCH('PROJECT NAME NOV'!$B48 &amp; "-" &amp; 'PROJECT NAME NOV'!$C48, Settings!$H:$H, 0)), "")</f>
        <v>850</v>
      </c>
      <c r="BM48" s="20">
        <f t="shared" si="26"/>
        <v>7968.75</v>
      </c>
      <c r="BN48" s="20">
        <f t="shared" si="23"/>
        <v>398.4375</v>
      </c>
      <c r="BO48" s="19">
        <f t="shared" si="16"/>
        <v>7570.3125</v>
      </c>
      <c r="BP48" s="54"/>
      <c r="BQ48" s="21">
        <v>8</v>
      </c>
      <c r="BR48" s="21">
        <v>4</v>
      </c>
      <c r="BS48" s="27">
        <v>8</v>
      </c>
      <c r="BT48" s="27">
        <v>4</v>
      </c>
      <c r="BU48" s="27">
        <v>8</v>
      </c>
      <c r="BV48" s="27">
        <v>0</v>
      </c>
      <c r="BW48" s="27">
        <v>8</v>
      </c>
      <c r="BX48" s="27">
        <v>4</v>
      </c>
      <c r="BY48" s="27">
        <v>8</v>
      </c>
      <c r="BZ48" s="27">
        <v>4</v>
      </c>
      <c r="CA48" s="27">
        <v>8</v>
      </c>
      <c r="CB48" s="27">
        <v>4</v>
      </c>
      <c r="CC48" s="27">
        <v>8</v>
      </c>
      <c r="CD48" s="27"/>
      <c r="CE48" s="8">
        <f t="shared" si="17"/>
        <v>56</v>
      </c>
      <c r="CF48" s="8">
        <f t="shared" si="18"/>
        <v>20</v>
      </c>
      <c r="CG48" s="19">
        <f>IFERROR(INDEX(Settings!$F:$F, MATCH('PROJECT NAME NOV'!$B48 &amp; "-" &amp; 'PROJECT NAME NOV'!$C48, Settings!$H:$H,0)), "")</f>
        <v>106.25</v>
      </c>
      <c r="CH48" s="19">
        <f>IFERROR(INDEX(Settings!$G:$G, MATCH('PROJECT NAME NOV'!$B48 &amp; "-" &amp; 'PROJECT NAME NOV'!$C48, Settings!$H:$H, 0)), "")</f>
        <v>850</v>
      </c>
      <c r="CI48" s="20">
        <f t="shared" si="27"/>
        <v>9137.5</v>
      </c>
      <c r="CJ48" s="20">
        <f t="shared" si="24"/>
        <v>456.875</v>
      </c>
      <c r="CK48" s="19">
        <f t="shared" si="19"/>
        <v>8680.625</v>
      </c>
      <c r="CM48" s="27">
        <v>8</v>
      </c>
      <c r="CN48" s="27">
        <v>4</v>
      </c>
      <c r="CO48" s="27">
        <v>8</v>
      </c>
      <c r="CP48" s="27"/>
      <c r="CQ48" s="27"/>
      <c r="CR48" s="27"/>
      <c r="CS48" s="8">
        <f t="shared" si="43"/>
        <v>16</v>
      </c>
      <c r="CT48" s="8">
        <f t="shared" si="44"/>
        <v>4</v>
      </c>
      <c r="CU48" s="19">
        <f>IFERROR(INDEX(Settings!$F:$F, MATCH('PROJECT NAME NOV'!$B48 &amp; "-" &amp; 'PROJECT NAME NOV'!$C48, Settings!$H:$H,0)), "")</f>
        <v>106.25</v>
      </c>
      <c r="CV48" s="19">
        <f>IFERROR(INDEX(Settings!$G:$G, MATCH('PROJECT NAME NOV'!$B48 &amp; "-" &amp; 'PROJECT NAME NOV'!$C48, Settings!$H:$H, 0)), "")</f>
        <v>850</v>
      </c>
      <c r="CW48" s="19">
        <f t="shared" si="20"/>
        <v>2125</v>
      </c>
      <c r="CX48" s="20">
        <f t="shared" si="21"/>
        <v>106.25</v>
      </c>
      <c r="CY48" s="19">
        <f t="shared" si="45"/>
        <v>2018.75</v>
      </c>
      <c r="DH48" s="87" t="str">
        <f>'Billable Till Date'!B43 &amp; "-" &amp; 'Billable Till Date'!C43</f>
        <v>-</v>
      </c>
    </row>
    <row r="49" spans="2:112" x14ac:dyDescent="0.3">
      <c r="B49" s="3" t="s">
        <v>65</v>
      </c>
      <c r="C49" s="1" t="s">
        <v>29</v>
      </c>
      <c r="D49" s="4"/>
      <c r="E49" s="4" t="s">
        <v>78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8">
        <f t="shared" si="41"/>
        <v>0</v>
      </c>
      <c r="S49" s="8">
        <f t="shared" si="42"/>
        <v>0</v>
      </c>
      <c r="T49" s="19">
        <f>IFERROR(INDEX(Settings!$F:$F, MATCH('PROJECT NAME NOV'!$B49 &amp; "-" &amp; 'PROJECT NAME NOV'!$C49, Settings!$H:$H,0)), "")</f>
        <v>106.25</v>
      </c>
      <c r="U49" s="19">
        <f>IFERROR(INDEX(Settings!$G:$G, MATCH('PROJECT NAME NOV'!$B49 &amp; "-" &amp; 'PROJECT NAME NOV'!$C49, Settings!$H:$H, 0)), "")</f>
        <v>850</v>
      </c>
      <c r="V49" s="20">
        <f t="shared" si="25"/>
        <v>0</v>
      </c>
      <c r="W49" s="20">
        <f t="shared" si="22"/>
        <v>0</v>
      </c>
      <c r="X49" s="19">
        <f t="shared" si="8"/>
        <v>0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44">
        <f>IFERROR(INDEX(Settings!$F:$F, MATCH('PROJECT NAME NOV'!$B49 &amp; "-" &amp; 'PROJECT NAME NOV'!$C49, Settings!$H:$H,0)), "")</f>
        <v>106.25</v>
      </c>
      <c r="AN49" s="44">
        <f>IFERROR(INDEX(Settings!$G:$G, MATCH('PROJECT NAME NOV'!$B49 &amp; "-" &amp; 'PROJECT NAME NOV'!$C49, Settings!$H:$H, 0)), "")</f>
        <v>850</v>
      </c>
      <c r="AO49" s="21">
        <f t="shared" si="9"/>
        <v>0</v>
      </c>
      <c r="AP49" s="21">
        <f t="shared" si="10"/>
        <v>0</v>
      </c>
      <c r="AQ49" s="44">
        <f t="shared" si="11"/>
        <v>0</v>
      </c>
      <c r="AR49" s="44">
        <f t="shared" si="12"/>
        <v>0</v>
      </c>
      <c r="AS49" s="44">
        <f t="shared" si="13"/>
        <v>0</v>
      </c>
      <c r="AT49" s="59"/>
      <c r="AU49" s="21">
        <v>0</v>
      </c>
      <c r="AV49" s="21">
        <v>0</v>
      </c>
      <c r="AW49" s="21">
        <v>8</v>
      </c>
      <c r="AX49" s="21">
        <v>0</v>
      </c>
      <c r="AY49" s="21">
        <v>8</v>
      </c>
      <c r="AZ49" s="21">
        <v>0</v>
      </c>
      <c r="BA49" s="21">
        <v>8</v>
      </c>
      <c r="BB49" s="21">
        <v>4</v>
      </c>
      <c r="BC49" s="21">
        <v>8</v>
      </c>
      <c r="BD49" s="21">
        <v>0</v>
      </c>
      <c r="BE49" s="21">
        <v>8</v>
      </c>
      <c r="BF49" s="27">
        <v>6</v>
      </c>
      <c r="BG49" s="27">
        <v>8</v>
      </c>
      <c r="BH49" s="21">
        <v>6</v>
      </c>
      <c r="BI49" s="8">
        <f t="shared" si="14"/>
        <v>48</v>
      </c>
      <c r="BJ49" s="8">
        <f t="shared" si="15"/>
        <v>16</v>
      </c>
      <c r="BK49" s="19">
        <f>IFERROR(INDEX(Settings!$F:$F, MATCH('PROJECT NAME NOV'!$B49 &amp; "-" &amp; 'PROJECT NAME NOV'!$C49, Settings!$H:$H,0)), "")</f>
        <v>106.25</v>
      </c>
      <c r="BL49" s="19">
        <f>IFERROR(INDEX(Settings!$G:$G, MATCH('PROJECT NAME NOV'!$B49 &amp; "-" &amp; 'PROJECT NAME NOV'!$C49, Settings!$H:$H, 0)), "")</f>
        <v>850</v>
      </c>
      <c r="BM49" s="20">
        <f t="shared" si="26"/>
        <v>7650</v>
      </c>
      <c r="BN49" s="20">
        <f t="shared" si="23"/>
        <v>382.5</v>
      </c>
      <c r="BO49" s="19">
        <f t="shared" si="16"/>
        <v>7267.5</v>
      </c>
      <c r="BP49" s="54"/>
      <c r="BQ49" s="21">
        <v>8</v>
      </c>
      <c r="BR49" s="21">
        <v>4</v>
      </c>
      <c r="BS49" s="27">
        <v>8</v>
      </c>
      <c r="BT49" s="27">
        <v>4</v>
      </c>
      <c r="BU49" s="27">
        <v>8</v>
      </c>
      <c r="BV49" s="27">
        <v>0</v>
      </c>
      <c r="BW49" s="27">
        <v>8</v>
      </c>
      <c r="BX49" s="27">
        <v>4</v>
      </c>
      <c r="BY49" s="27">
        <v>8</v>
      </c>
      <c r="BZ49" s="27">
        <v>4</v>
      </c>
      <c r="CA49" s="27">
        <v>8</v>
      </c>
      <c r="CB49" s="27">
        <v>4</v>
      </c>
      <c r="CC49" s="27">
        <v>8</v>
      </c>
      <c r="CD49" s="27"/>
      <c r="CE49" s="8">
        <f t="shared" si="17"/>
        <v>56</v>
      </c>
      <c r="CF49" s="8">
        <f t="shared" si="18"/>
        <v>20</v>
      </c>
      <c r="CG49" s="19">
        <f>IFERROR(INDEX(Settings!$F:$F, MATCH('PROJECT NAME NOV'!$B49 &amp; "-" &amp; 'PROJECT NAME NOV'!$C49, Settings!$H:$H,0)), "")</f>
        <v>106.25</v>
      </c>
      <c r="CH49" s="19">
        <f>IFERROR(INDEX(Settings!$G:$G, MATCH('PROJECT NAME NOV'!$B49 &amp; "-" &amp; 'PROJECT NAME NOV'!$C49, Settings!$H:$H, 0)), "")</f>
        <v>850</v>
      </c>
      <c r="CI49" s="20">
        <f t="shared" si="27"/>
        <v>9137.5</v>
      </c>
      <c r="CJ49" s="20">
        <f t="shared" si="24"/>
        <v>456.875</v>
      </c>
      <c r="CK49" s="19">
        <f t="shared" si="19"/>
        <v>8680.625</v>
      </c>
      <c r="CM49" s="27">
        <v>8</v>
      </c>
      <c r="CN49" s="27">
        <v>4</v>
      </c>
      <c r="CO49" s="27">
        <v>8</v>
      </c>
      <c r="CP49" s="27"/>
      <c r="CQ49" s="27"/>
      <c r="CR49" s="27"/>
      <c r="CS49" s="8">
        <f t="shared" si="43"/>
        <v>16</v>
      </c>
      <c r="CT49" s="8">
        <f t="shared" si="44"/>
        <v>4</v>
      </c>
      <c r="CU49" s="19">
        <f>IFERROR(INDEX(Settings!$F:$F, MATCH('PROJECT NAME NOV'!$B49 &amp; "-" &amp; 'PROJECT NAME NOV'!$C49, Settings!$H:$H,0)), "")</f>
        <v>106.25</v>
      </c>
      <c r="CV49" s="19">
        <f>IFERROR(INDEX(Settings!$G:$G, MATCH('PROJECT NAME NOV'!$B49 &amp; "-" &amp; 'PROJECT NAME NOV'!$C49, Settings!$H:$H, 0)), "")</f>
        <v>850</v>
      </c>
      <c r="CW49" s="19">
        <f t="shared" si="20"/>
        <v>2125</v>
      </c>
      <c r="CX49" s="20">
        <f t="shared" si="21"/>
        <v>106.25</v>
      </c>
      <c r="CY49" s="19">
        <f t="shared" si="45"/>
        <v>2018.75</v>
      </c>
      <c r="DH49" s="86" t="str">
        <f>'Billable Till Date'!B44 &amp; "-" &amp; 'Billable Till Date'!C44</f>
        <v>-</v>
      </c>
    </row>
    <row r="50" spans="2:112" x14ac:dyDescent="0.3">
      <c r="B50" s="3" t="s">
        <v>65</v>
      </c>
      <c r="C50" s="1" t="s">
        <v>29</v>
      </c>
      <c r="D50" s="4"/>
      <c r="E50" s="4" t="s">
        <v>79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8">
        <f t="shared" si="41"/>
        <v>0</v>
      </c>
      <c r="S50" s="8">
        <f t="shared" si="42"/>
        <v>0</v>
      </c>
      <c r="T50" s="19">
        <f>IFERROR(INDEX(Settings!$F:$F, MATCH('PROJECT NAME NOV'!$B50 &amp; "-" &amp; 'PROJECT NAME NOV'!$C50, Settings!$H:$H,0)), "")</f>
        <v>106.25</v>
      </c>
      <c r="U50" s="19">
        <f>IFERROR(INDEX(Settings!$G:$G, MATCH('PROJECT NAME NOV'!$B50 &amp; "-" &amp; 'PROJECT NAME NOV'!$C50, Settings!$H:$H, 0)), "")</f>
        <v>850</v>
      </c>
      <c r="V50" s="20">
        <f t="shared" si="25"/>
        <v>0</v>
      </c>
      <c r="W50" s="20">
        <f t="shared" si="22"/>
        <v>0</v>
      </c>
      <c r="X50" s="19">
        <f t="shared" si="8"/>
        <v>0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44">
        <f>IFERROR(INDEX(Settings!$F:$F, MATCH('PROJECT NAME NOV'!$B50 &amp; "-" &amp; 'PROJECT NAME NOV'!$C50, Settings!$H:$H,0)), "")</f>
        <v>106.25</v>
      </c>
      <c r="AN50" s="44">
        <f>IFERROR(INDEX(Settings!$G:$G, MATCH('PROJECT NAME NOV'!$B50 &amp; "-" &amp; 'PROJECT NAME NOV'!$C50, Settings!$H:$H, 0)), "")</f>
        <v>850</v>
      </c>
      <c r="AO50" s="21">
        <f t="shared" si="9"/>
        <v>0</v>
      </c>
      <c r="AP50" s="21">
        <f t="shared" si="10"/>
        <v>0</v>
      </c>
      <c r="AQ50" s="44">
        <f t="shared" si="11"/>
        <v>0</v>
      </c>
      <c r="AR50" s="44">
        <f t="shared" si="12"/>
        <v>0</v>
      </c>
      <c r="AS50" s="44">
        <f t="shared" si="13"/>
        <v>0</v>
      </c>
      <c r="AT50" s="59"/>
      <c r="AU50" s="21">
        <v>0</v>
      </c>
      <c r="AV50" s="21">
        <v>0</v>
      </c>
      <c r="AW50" s="21">
        <v>8</v>
      </c>
      <c r="AX50" s="21">
        <v>0</v>
      </c>
      <c r="AY50" s="21">
        <v>8</v>
      </c>
      <c r="AZ50" s="21">
        <v>0</v>
      </c>
      <c r="BA50" s="21">
        <v>8</v>
      </c>
      <c r="BB50" s="21">
        <v>4</v>
      </c>
      <c r="BC50" s="21">
        <v>8</v>
      </c>
      <c r="BD50" s="21">
        <v>6</v>
      </c>
      <c r="BE50" s="21">
        <v>8</v>
      </c>
      <c r="BF50" s="27">
        <v>6</v>
      </c>
      <c r="BG50" s="27">
        <v>8</v>
      </c>
      <c r="BH50" s="21">
        <v>6</v>
      </c>
      <c r="BI50" s="8">
        <f t="shared" si="14"/>
        <v>48</v>
      </c>
      <c r="BJ50" s="8">
        <f t="shared" si="15"/>
        <v>22</v>
      </c>
      <c r="BK50" s="19">
        <f>IFERROR(INDEX(Settings!$F:$F, MATCH('PROJECT NAME NOV'!$B50 &amp; "-" &amp; 'PROJECT NAME NOV'!$C50, Settings!$H:$H,0)), "")</f>
        <v>106.25</v>
      </c>
      <c r="BL50" s="19">
        <f>IFERROR(INDEX(Settings!$G:$G, MATCH('PROJECT NAME NOV'!$B50 &amp; "-" &amp; 'PROJECT NAME NOV'!$C50, Settings!$H:$H, 0)), "")</f>
        <v>850</v>
      </c>
      <c r="BM50" s="20">
        <f t="shared" si="26"/>
        <v>8606.25</v>
      </c>
      <c r="BN50" s="20">
        <f t="shared" si="23"/>
        <v>430.3125</v>
      </c>
      <c r="BO50" s="19">
        <f t="shared" si="16"/>
        <v>8175.9375</v>
      </c>
      <c r="BP50" s="54"/>
      <c r="BQ50" s="21">
        <v>8</v>
      </c>
      <c r="BR50" s="21">
        <v>4</v>
      </c>
      <c r="BS50" s="27">
        <v>8</v>
      </c>
      <c r="BT50" s="27">
        <v>4</v>
      </c>
      <c r="BU50" s="27">
        <v>8</v>
      </c>
      <c r="BV50" s="27">
        <v>0</v>
      </c>
      <c r="BW50" s="27">
        <v>8</v>
      </c>
      <c r="BX50" s="27">
        <v>4</v>
      </c>
      <c r="BY50" s="27">
        <v>8</v>
      </c>
      <c r="BZ50" s="27">
        <v>4</v>
      </c>
      <c r="CA50" s="27">
        <v>8</v>
      </c>
      <c r="CB50" s="27">
        <v>4</v>
      </c>
      <c r="CC50" s="27">
        <v>8</v>
      </c>
      <c r="CD50" s="27"/>
      <c r="CE50" s="8">
        <f t="shared" si="17"/>
        <v>56</v>
      </c>
      <c r="CF50" s="8">
        <f t="shared" si="18"/>
        <v>20</v>
      </c>
      <c r="CG50" s="19">
        <f>IFERROR(INDEX(Settings!$F:$F, MATCH('PROJECT NAME NOV'!$B50 &amp; "-" &amp; 'PROJECT NAME NOV'!$C50, Settings!$H:$H,0)), "")</f>
        <v>106.25</v>
      </c>
      <c r="CH50" s="19">
        <f>IFERROR(INDEX(Settings!$G:$G, MATCH('PROJECT NAME NOV'!$B50 &amp; "-" &amp; 'PROJECT NAME NOV'!$C50, Settings!$H:$H, 0)), "")</f>
        <v>850</v>
      </c>
      <c r="CI50" s="20">
        <f t="shared" si="27"/>
        <v>9137.5</v>
      </c>
      <c r="CJ50" s="20">
        <f t="shared" si="24"/>
        <v>456.875</v>
      </c>
      <c r="CK50" s="19">
        <f t="shared" si="19"/>
        <v>8680.625</v>
      </c>
      <c r="CM50" s="27">
        <v>8</v>
      </c>
      <c r="CN50" s="27">
        <v>4</v>
      </c>
      <c r="CO50" s="27">
        <v>8</v>
      </c>
      <c r="CP50" s="27"/>
      <c r="CQ50" s="27"/>
      <c r="CR50" s="27"/>
      <c r="CS50" s="8">
        <f t="shared" si="43"/>
        <v>16</v>
      </c>
      <c r="CT50" s="8">
        <f t="shared" si="44"/>
        <v>4</v>
      </c>
      <c r="CU50" s="19">
        <f>IFERROR(INDEX(Settings!$F:$F, MATCH('PROJECT NAME NOV'!$B50 &amp; "-" &amp; 'PROJECT NAME NOV'!$C50, Settings!$H:$H,0)), "")</f>
        <v>106.25</v>
      </c>
      <c r="CV50" s="19">
        <f>IFERROR(INDEX(Settings!$G:$G, MATCH('PROJECT NAME NOV'!$B50 &amp; "-" &amp; 'PROJECT NAME NOV'!$C50, Settings!$H:$H, 0)), "")</f>
        <v>850</v>
      </c>
      <c r="CW50" s="19">
        <f t="shared" si="20"/>
        <v>2125</v>
      </c>
      <c r="CX50" s="20">
        <f t="shared" si="21"/>
        <v>106.25</v>
      </c>
      <c r="CY50" s="19">
        <f t="shared" si="45"/>
        <v>2018.75</v>
      </c>
      <c r="DH50" s="87" t="str">
        <f>'Billable Till Date'!B45 &amp; "-" &amp; 'Billable Till Date'!C45</f>
        <v>-</v>
      </c>
    </row>
    <row r="51" spans="2:112" x14ac:dyDescent="0.3">
      <c r="B51" s="3" t="s">
        <v>65</v>
      </c>
      <c r="C51" s="1" t="s">
        <v>29</v>
      </c>
      <c r="D51" s="3"/>
      <c r="E51" s="4" t="s">
        <v>80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8">
        <f t="shared" si="41"/>
        <v>0</v>
      </c>
      <c r="S51" s="8">
        <f t="shared" si="42"/>
        <v>0</v>
      </c>
      <c r="T51" s="19">
        <f>IFERROR(INDEX(Settings!$F:$F, MATCH('PROJECT NAME NOV'!$B51 &amp; "-" &amp; 'PROJECT NAME NOV'!$C51, Settings!$H:$H,0)), "")</f>
        <v>106.25</v>
      </c>
      <c r="U51" s="19">
        <f>IFERROR(INDEX(Settings!$G:$G, MATCH('PROJECT NAME NOV'!$B51 &amp; "-" &amp; 'PROJECT NAME NOV'!$C51, Settings!$H:$H, 0)), "")</f>
        <v>850</v>
      </c>
      <c r="V51" s="20">
        <f t="shared" si="25"/>
        <v>0</v>
      </c>
      <c r="W51" s="20">
        <f t="shared" si="22"/>
        <v>0</v>
      </c>
      <c r="X51" s="19">
        <f t="shared" si="8"/>
        <v>0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44">
        <f>IFERROR(INDEX(Settings!$F:$F, MATCH('PROJECT NAME NOV'!$B51 &amp; "-" &amp; 'PROJECT NAME NOV'!$C51, Settings!$H:$H,0)), "")</f>
        <v>106.25</v>
      </c>
      <c r="AN51" s="44">
        <f>IFERROR(INDEX(Settings!$G:$G, MATCH('PROJECT NAME NOV'!$B51 &amp; "-" &amp; 'PROJECT NAME NOV'!$C51, Settings!$H:$H, 0)), "")</f>
        <v>850</v>
      </c>
      <c r="AO51" s="21">
        <f t="shared" si="9"/>
        <v>0</v>
      </c>
      <c r="AP51" s="21">
        <f t="shared" si="10"/>
        <v>0</v>
      </c>
      <c r="AQ51" s="44">
        <f t="shared" si="11"/>
        <v>0</v>
      </c>
      <c r="AR51" s="44">
        <f t="shared" si="12"/>
        <v>0</v>
      </c>
      <c r="AS51" s="44">
        <f t="shared" si="13"/>
        <v>0</v>
      </c>
      <c r="AT51" s="59"/>
      <c r="AU51" s="21">
        <v>0</v>
      </c>
      <c r="AV51" s="21">
        <v>0</v>
      </c>
      <c r="AW51" s="21">
        <v>8</v>
      </c>
      <c r="AX51" s="21">
        <v>0</v>
      </c>
      <c r="AY51" s="21">
        <v>8</v>
      </c>
      <c r="AZ51" s="21">
        <v>0</v>
      </c>
      <c r="BA51" s="21">
        <v>8</v>
      </c>
      <c r="BB51" s="21">
        <v>4</v>
      </c>
      <c r="BC51" s="21">
        <v>8</v>
      </c>
      <c r="BD51" s="21">
        <v>6</v>
      </c>
      <c r="BE51" s="21">
        <v>8</v>
      </c>
      <c r="BF51" s="27">
        <v>6</v>
      </c>
      <c r="BG51" s="27">
        <v>8</v>
      </c>
      <c r="BH51" s="21">
        <v>6</v>
      </c>
      <c r="BI51" s="8">
        <f t="shared" si="14"/>
        <v>48</v>
      </c>
      <c r="BJ51" s="8">
        <f t="shared" si="15"/>
        <v>22</v>
      </c>
      <c r="BK51" s="19">
        <f>IFERROR(INDEX(Settings!$F:$F, MATCH('PROJECT NAME NOV'!$B51 &amp; "-" &amp; 'PROJECT NAME NOV'!$C51, Settings!$H:$H,0)), "")</f>
        <v>106.25</v>
      </c>
      <c r="BL51" s="19">
        <f>IFERROR(INDEX(Settings!$G:$G, MATCH('PROJECT NAME NOV'!$B51 &amp; "-" &amp; 'PROJECT NAME NOV'!$C51, Settings!$H:$H, 0)), "")</f>
        <v>850</v>
      </c>
      <c r="BM51" s="20">
        <f t="shared" si="26"/>
        <v>8606.25</v>
      </c>
      <c r="BN51" s="20">
        <f t="shared" si="23"/>
        <v>430.3125</v>
      </c>
      <c r="BO51" s="19">
        <f t="shared" si="16"/>
        <v>8175.9375</v>
      </c>
      <c r="BP51" s="54"/>
      <c r="BQ51" s="21">
        <v>8</v>
      </c>
      <c r="BR51" s="21">
        <v>4</v>
      </c>
      <c r="BS51" s="27">
        <v>8</v>
      </c>
      <c r="BT51" s="27">
        <v>4</v>
      </c>
      <c r="BU51" s="27">
        <v>8</v>
      </c>
      <c r="BV51" s="27">
        <v>0</v>
      </c>
      <c r="BW51" s="27">
        <v>8</v>
      </c>
      <c r="BX51" s="27">
        <v>4</v>
      </c>
      <c r="BY51" s="27">
        <v>8</v>
      </c>
      <c r="BZ51" s="27">
        <v>4</v>
      </c>
      <c r="CA51" s="27">
        <v>8</v>
      </c>
      <c r="CB51" s="27">
        <v>4</v>
      </c>
      <c r="CC51" s="27">
        <v>8</v>
      </c>
      <c r="CD51" s="27"/>
      <c r="CE51" s="8">
        <f t="shared" si="17"/>
        <v>56</v>
      </c>
      <c r="CF51" s="8">
        <f t="shared" si="18"/>
        <v>20</v>
      </c>
      <c r="CG51" s="19">
        <f>IFERROR(INDEX(Settings!$F:$F, MATCH('PROJECT NAME NOV'!$B51 &amp; "-" &amp; 'PROJECT NAME NOV'!$C51, Settings!$H:$H,0)), "")</f>
        <v>106.25</v>
      </c>
      <c r="CH51" s="19">
        <f>IFERROR(INDEX(Settings!$G:$G, MATCH('PROJECT NAME NOV'!$B51 &amp; "-" &amp; 'PROJECT NAME NOV'!$C51, Settings!$H:$H, 0)), "")</f>
        <v>850</v>
      </c>
      <c r="CI51" s="20">
        <f t="shared" si="27"/>
        <v>9137.5</v>
      </c>
      <c r="CJ51" s="20">
        <f t="shared" si="24"/>
        <v>456.875</v>
      </c>
      <c r="CK51" s="19">
        <f t="shared" si="19"/>
        <v>8680.625</v>
      </c>
      <c r="CM51" s="27">
        <v>8</v>
      </c>
      <c r="CN51" s="27">
        <v>4</v>
      </c>
      <c r="CO51" s="27">
        <v>0</v>
      </c>
      <c r="CP51" s="27"/>
      <c r="CQ51" s="27"/>
      <c r="CR51" s="27"/>
      <c r="CS51" s="8">
        <f t="shared" si="43"/>
        <v>8</v>
      </c>
      <c r="CT51" s="8">
        <f t="shared" si="44"/>
        <v>4</v>
      </c>
      <c r="CU51" s="19">
        <f>IFERROR(INDEX(Settings!$F:$F, MATCH('PROJECT NAME NOV'!$B51 &amp; "-" &amp; 'PROJECT NAME NOV'!$C51, Settings!$H:$H,0)), "")</f>
        <v>106.25</v>
      </c>
      <c r="CV51" s="19">
        <f>IFERROR(INDEX(Settings!$G:$G, MATCH('PROJECT NAME NOV'!$B51 &amp; "-" &amp; 'PROJECT NAME NOV'!$C51, Settings!$H:$H, 0)), "")</f>
        <v>850</v>
      </c>
      <c r="CW51" s="19">
        <f t="shared" si="20"/>
        <v>1275</v>
      </c>
      <c r="CX51" s="20">
        <f t="shared" si="21"/>
        <v>63.75</v>
      </c>
      <c r="CY51" s="19">
        <f t="shared" si="45"/>
        <v>1211.25</v>
      </c>
      <c r="DH51" s="86" t="str">
        <f>'Billable Till Date'!B46 &amp; "-" &amp; 'Billable Till Date'!C46</f>
        <v>-</v>
      </c>
    </row>
    <row r="52" spans="2:112" x14ac:dyDescent="0.3">
      <c r="B52" s="3" t="s">
        <v>65</v>
      </c>
      <c r="C52" s="1" t="s">
        <v>29</v>
      </c>
      <c r="D52" s="3"/>
      <c r="E52" s="4" t="s">
        <v>81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8">
        <f t="shared" si="41"/>
        <v>0</v>
      </c>
      <c r="S52" s="8">
        <f t="shared" si="42"/>
        <v>0</v>
      </c>
      <c r="T52" s="19">
        <f>IFERROR(INDEX(Settings!$F:$F, MATCH('PROJECT NAME NOV'!$B52 &amp; "-" &amp; 'PROJECT NAME NOV'!$C52, Settings!$H:$H,0)), "")</f>
        <v>106.25</v>
      </c>
      <c r="U52" s="19">
        <f>IFERROR(INDEX(Settings!$G:$G, MATCH('PROJECT NAME NOV'!$B52 &amp; "-" &amp; 'PROJECT NAME NOV'!$C52, Settings!$H:$H, 0)), "")</f>
        <v>850</v>
      </c>
      <c r="V52" s="20">
        <f t="shared" si="25"/>
        <v>0</v>
      </c>
      <c r="W52" s="20">
        <f t="shared" si="22"/>
        <v>0</v>
      </c>
      <c r="X52" s="19">
        <f t="shared" si="8"/>
        <v>0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44">
        <f>IFERROR(INDEX(Settings!$F:$F, MATCH('PROJECT NAME NOV'!$B52 &amp; "-" &amp; 'PROJECT NAME NOV'!$C52, Settings!$H:$H,0)), "")</f>
        <v>106.25</v>
      </c>
      <c r="AN52" s="44">
        <f>IFERROR(INDEX(Settings!$G:$G, MATCH('PROJECT NAME NOV'!$B52 &amp; "-" &amp; 'PROJECT NAME NOV'!$C52, Settings!$H:$H, 0)), "")</f>
        <v>850</v>
      </c>
      <c r="AO52" s="21">
        <f t="shared" si="9"/>
        <v>0</v>
      </c>
      <c r="AP52" s="21">
        <f t="shared" si="10"/>
        <v>0</v>
      </c>
      <c r="AQ52" s="44">
        <f t="shared" si="11"/>
        <v>0</v>
      </c>
      <c r="AR52" s="44">
        <f t="shared" si="12"/>
        <v>0</v>
      </c>
      <c r="AS52" s="44">
        <f t="shared" si="13"/>
        <v>0</v>
      </c>
      <c r="AT52" s="59"/>
      <c r="AU52" s="21">
        <v>0</v>
      </c>
      <c r="AV52" s="21">
        <v>0</v>
      </c>
      <c r="AW52" s="21">
        <v>8</v>
      </c>
      <c r="AX52" s="21">
        <v>0</v>
      </c>
      <c r="AY52" s="21">
        <v>8</v>
      </c>
      <c r="AZ52" s="21">
        <v>0</v>
      </c>
      <c r="BA52" s="21">
        <v>8</v>
      </c>
      <c r="BB52" s="21">
        <v>0</v>
      </c>
      <c r="BC52" s="21">
        <v>8</v>
      </c>
      <c r="BD52" s="21">
        <v>0</v>
      </c>
      <c r="BE52" s="21">
        <v>8</v>
      </c>
      <c r="BF52" s="27">
        <v>0</v>
      </c>
      <c r="BG52" s="27">
        <v>8</v>
      </c>
      <c r="BH52" s="21">
        <v>6</v>
      </c>
      <c r="BI52" s="8">
        <f t="shared" si="14"/>
        <v>48</v>
      </c>
      <c r="BJ52" s="8">
        <f t="shared" si="15"/>
        <v>6</v>
      </c>
      <c r="BK52" s="19">
        <f>IFERROR(INDEX(Settings!$F:$F, MATCH('PROJECT NAME NOV'!$B52 &amp; "-" &amp; 'PROJECT NAME NOV'!$C52, Settings!$H:$H,0)), "")</f>
        <v>106.25</v>
      </c>
      <c r="BL52" s="19">
        <f>IFERROR(INDEX(Settings!$G:$G, MATCH('PROJECT NAME NOV'!$B52 &amp; "-" &amp; 'PROJECT NAME NOV'!$C52, Settings!$H:$H, 0)), "")</f>
        <v>850</v>
      </c>
      <c r="BM52" s="20">
        <f t="shared" si="26"/>
        <v>6056.25</v>
      </c>
      <c r="BN52" s="20">
        <f t="shared" si="23"/>
        <v>302.8125</v>
      </c>
      <c r="BO52" s="19">
        <f t="shared" si="16"/>
        <v>5753.4375</v>
      </c>
      <c r="BP52" s="54"/>
      <c r="BQ52" s="21">
        <v>8</v>
      </c>
      <c r="BR52" s="21">
        <v>4</v>
      </c>
      <c r="BS52" s="27">
        <v>8</v>
      </c>
      <c r="BT52" s="27">
        <v>4</v>
      </c>
      <c r="BU52" s="27">
        <v>8</v>
      </c>
      <c r="BV52" s="27">
        <v>0</v>
      </c>
      <c r="BW52" s="27">
        <v>8</v>
      </c>
      <c r="BX52" s="27">
        <v>4</v>
      </c>
      <c r="BY52" s="27">
        <v>8</v>
      </c>
      <c r="BZ52" s="27">
        <v>4</v>
      </c>
      <c r="CA52" s="27">
        <v>8</v>
      </c>
      <c r="CB52" s="27">
        <v>4</v>
      </c>
      <c r="CC52" s="27">
        <v>8</v>
      </c>
      <c r="CD52" s="27"/>
      <c r="CE52" s="8">
        <f t="shared" si="17"/>
        <v>56</v>
      </c>
      <c r="CF52" s="8">
        <f t="shared" si="18"/>
        <v>20</v>
      </c>
      <c r="CG52" s="19">
        <f>IFERROR(INDEX(Settings!$F:$F, MATCH('PROJECT NAME NOV'!$B52 &amp; "-" &amp; 'PROJECT NAME NOV'!$C52, Settings!$H:$H,0)), "")</f>
        <v>106.25</v>
      </c>
      <c r="CH52" s="19">
        <f>IFERROR(INDEX(Settings!$G:$G, MATCH('PROJECT NAME NOV'!$B52 &amp; "-" &amp; 'PROJECT NAME NOV'!$C52, Settings!$H:$H, 0)), "")</f>
        <v>850</v>
      </c>
      <c r="CI52" s="20">
        <f t="shared" si="27"/>
        <v>9137.5</v>
      </c>
      <c r="CJ52" s="20">
        <f t="shared" si="24"/>
        <v>456.875</v>
      </c>
      <c r="CK52" s="19">
        <f t="shared" si="19"/>
        <v>8680.625</v>
      </c>
      <c r="CM52" s="27">
        <v>8</v>
      </c>
      <c r="CN52" s="27">
        <v>4</v>
      </c>
      <c r="CO52" s="27">
        <v>0</v>
      </c>
      <c r="CP52" s="27"/>
      <c r="CQ52" s="27"/>
      <c r="CR52" s="27"/>
      <c r="CS52" s="8">
        <f t="shared" si="43"/>
        <v>8</v>
      </c>
      <c r="CT52" s="8">
        <f t="shared" si="44"/>
        <v>4</v>
      </c>
      <c r="CU52" s="19">
        <f>IFERROR(INDEX(Settings!$F:$F, MATCH('PROJECT NAME NOV'!$B52 &amp; "-" &amp; 'PROJECT NAME NOV'!$C52, Settings!$H:$H,0)), "")</f>
        <v>106.25</v>
      </c>
      <c r="CV52" s="19">
        <f>IFERROR(INDEX(Settings!$G:$G, MATCH('PROJECT NAME NOV'!$B52 &amp; "-" &amp; 'PROJECT NAME NOV'!$C52, Settings!$H:$H, 0)), "")</f>
        <v>850</v>
      </c>
      <c r="CW52" s="19">
        <f t="shared" si="20"/>
        <v>1275</v>
      </c>
      <c r="CX52" s="20">
        <f t="shared" si="21"/>
        <v>63.75</v>
      </c>
      <c r="CY52" s="19">
        <f t="shared" si="45"/>
        <v>1211.25</v>
      </c>
      <c r="DH52" s="87" t="str">
        <f>'Billable Till Date'!B47 &amp; "-" &amp; 'Billable Till Date'!C47</f>
        <v>-</v>
      </c>
    </row>
    <row r="53" spans="2:112" ht="15" customHeight="1" x14ac:dyDescent="0.3">
      <c r="B53" s="3" t="s">
        <v>65</v>
      </c>
      <c r="C53" s="1" t="s">
        <v>29</v>
      </c>
      <c r="D53" s="3"/>
      <c r="E53" s="4" t="s">
        <v>82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8">
        <f t="shared" si="41"/>
        <v>0</v>
      </c>
      <c r="S53" s="8">
        <f t="shared" si="42"/>
        <v>0</v>
      </c>
      <c r="T53" s="19">
        <f>IFERROR(INDEX(Settings!$F:$F, MATCH('PROJECT NAME NOV'!$B53 &amp; "-" &amp; 'PROJECT NAME NOV'!$C53, Settings!$H:$H,0)), "")</f>
        <v>106.25</v>
      </c>
      <c r="U53" s="19">
        <f>IFERROR(INDEX(Settings!$G:$G, MATCH('PROJECT NAME NOV'!$B53 &amp; "-" &amp; 'PROJECT NAME NOV'!$C53, Settings!$H:$H, 0)), "")</f>
        <v>850</v>
      </c>
      <c r="V53" s="20">
        <f t="shared" si="25"/>
        <v>0</v>
      </c>
      <c r="W53" s="20">
        <f t="shared" si="22"/>
        <v>0</v>
      </c>
      <c r="X53" s="19">
        <f t="shared" si="8"/>
        <v>0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44">
        <f>IFERROR(INDEX(Settings!$F:$F, MATCH('PROJECT NAME NOV'!$B53 &amp; "-" &amp; 'PROJECT NAME NOV'!$C53, Settings!$H:$H,0)), "")</f>
        <v>106.25</v>
      </c>
      <c r="AN53" s="44">
        <f>IFERROR(INDEX(Settings!$G:$G, MATCH('PROJECT NAME NOV'!$B53 &amp; "-" &amp; 'PROJECT NAME NOV'!$C53, Settings!$H:$H, 0)), "")</f>
        <v>850</v>
      </c>
      <c r="AO53" s="21">
        <f t="shared" si="9"/>
        <v>0</v>
      </c>
      <c r="AP53" s="21">
        <f t="shared" si="10"/>
        <v>0</v>
      </c>
      <c r="AQ53" s="44">
        <f t="shared" si="11"/>
        <v>0</v>
      </c>
      <c r="AR53" s="44">
        <f t="shared" si="12"/>
        <v>0</v>
      </c>
      <c r="AS53" s="44">
        <f t="shared" si="13"/>
        <v>0</v>
      </c>
      <c r="AT53" s="59"/>
      <c r="AU53" s="21">
        <v>0</v>
      </c>
      <c r="AV53" s="21">
        <v>0</v>
      </c>
      <c r="AW53" s="21">
        <v>8</v>
      </c>
      <c r="AX53" s="21">
        <v>0</v>
      </c>
      <c r="AY53" s="21">
        <v>8</v>
      </c>
      <c r="AZ53" s="21">
        <v>0</v>
      </c>
      <c r="BA53" s="21">
        <v>8</v>
      </c>
      <c r="BB53" s="21">
        <v>4</v>
      </c>
      <c r="BC53" s="21">
        <v>8</v>
      </c>
      <c r="BD53" s="21">
        <v>6</v>
      </c>
      <c r="BE53" s="21">
        <v>8</v>
      </c>
      <c r="BF53" s="27">
        <v>6</v>
      </c>
      <c r="BG53" s="27">
        <v>8</v>
      </c>
      <c r="BH53" s="21">
        <v>6</v>
      </c>
      <c r="BI53" s="8">
        <f t="shared" si="14"/>
        <v>48</v>
      </c>
      <c r="BJ53" s="8">
        <f t="shared" si="15"/>
        <v>22</v>
      </c>
      <c r="BK53" s="19">
        <f>IFERROR(INDEX(Settings!$F:$F, MATCH('PROJECT NAME NOV'!$B53 &amp; "-" &amp; 'PROJECT NAME NOV'!$C53, Settings!$H:$H,0)), "")</f>
        <v>106.25</v>
      </c>
      <c r="BL53" s="19">
        <f>IFERROR(INDEX(Settings!$G:$G, MATCH('PROJECT NAME NOV'!$B53 &amp; "-" &amp; 'PROJECT NAME NOV'!$C53, Settings!$H:$H, 0)), "")</f>
        <v>850</v>
      </c>
      <c r="BM53" s="20">
        <f t="shared" si="26"/>
        <v>8606.25</v>
      </c>
      <c r="BN53" s="20">
        <f t="shared" si="23"/>
        <v>430.3125</v>
      </c>
      <c r="BO53" s="19">
        <f t="shared" si="16"/>
        <v>8175.9375</v>
      </c>
      <c r="BP53" s="54"/>
      <c r="BQ53" s="21">
        <v>8</v>
      </c>
      <c r="BR53" s="21">
        <v>4</v>
      </c>
      <c r="BS53" s="27">
        <v>8</v>
      </c>
      <c r="BT53" s="27">
        <v>4</v>
      </c>
      <c r="BU53" s="27">
        <v>8</v>
      </c>
      <c r="BV53" s="27">
        <v>0</v>
      </c>
      <c r="BW53" s="27">
        <v>8</v>
      </c>
      <c r="BX53" s="27">
        <v>4</v>
      </c>
      <c r="BY53" s="27">
        <v>8</v>
      </c>
      <c r="BZ53" s="27">
        <v>4</v>
      </c>
      <c r="CA53" s="27">
        <v>8</v>
      </c>
      <c r="CB53" s="27">
        <v>4</v>
      </c>
      <c r="CC53" s="27">
        <v>8</v>
      </c>
      <c r="CD53" s="27"/>
      <c r="CE53" s="8">
        <f t="shared" si="17"/>
        <v>56</v>
      </c>
      <c r="CF53" s="8">
        <f t="shared" si="18"/>
        <v>20</v>
      </c>
      <c r="CG53" s="19">
        <f>IFERROR(INDEX(Settings!$F:$F, MATCH('PROJECT NAME NOV'!$B53 &amp; "-" &amp; 'PROJECT NAME NOV'!$C53, Settings!$H:$H,0)), "")</f>
        <v>106.25</v>
      </c>
      <c r="CH53" s="19">
        <f>IFERROR(INDEX(Settings!$G:$G, MATCH('PROJECT NAME NOV'!$B53 &amp; "-" &amp; 'PROJECT NAME NOV'!$C53, Settings!$H:$H, 0)), "")</f>
        <v>850</v>
      </c>
      <c r="CI53" s="20">
        <f t="shared" si="27"/>
        <v>9137.5</v>
      </c>
      <c r="CJ53" s="20">
        <f t="shared" si="24"/>
        <v>456.875</v>
      </c>
      <c r="CK53" s="19">
        <f t="shared" si="19"/>
        <v>8680.625</v>
      </c>
      <c r="CM53" s="27">
        <v>8</v>
      </c>
      <c r="CN53" s="27">
        <v>4</v>
      </c>
      <c r="CO53" s="27">
        <v>0</v>
      </c>
      <c r="CP53" s="27"/>
      <c r="CQ53" s="27"/>
      <c r="CR53" s="27"/>
      <c r="CS53" s="8">
        <f t="shared" si="43"/>
        <v>8</v>
      </c>
      <c r="CT53" s="8">
        <f t="shared" si="44"/>
        <v>4</v>
      </c>
      <c r="CU53" s="19">
        <f>IFERROR(INDEX(Settings!$F:$F, MATCH('PROJECT NAME NOV'!$B53 &amp; "-" &amp; 'PROJECT NAME NOV'!$C53, Settings!$H:$H,0)), "")</f>
        <v>106.25</v>
      </c>
      <c r="CV53" s="19">
        <f>IFERROR(INDEX(Settings!$G:$G, MATCH('PROJECT NAME NOV'!$B53 &amp; "-" &amp; 'PROJECT NAME NOV'!$C53, Settings!$H:$H, 0)), "")</f>
        <v>850</v>
      </c>
      <c r="CW53" s="19">
        <f t="shared" si="20"/>
        <v>1275</v>
      </c>
      <c r="CX53" s="20">
        <f t="shared" si="21"/>
        <v>63.75</v>
      </c>
      <c r="CY53" s="19">
        <f t="shared" si="45"/>
        <v>1211.25</v>
      </c>
    </row>
    <row r="54" spans="2:112" x14ac:dyDescent="0.3">
      <c r="B54" s="3" t="s">
        <v>65</v>
      </c>
      <c r="C54" s="1" t="s">
        <v>29</v>
      </c>
      <c r="D54" s="3"/>
      <c r="E54" s="4" t="s">
        <v>197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8">
        <f t="shared" si="41"/>
        <v>0</v>
      </c>
      <c r="S54" s="8">
        <f t="shared" si="42"/>
        <v>0</v>
      </c>
      <c r="T54" s="19">
        <f>IFERROR(INDEX(Settings!$F:$F, MATCH('PROJECT NAME NOV'!$B54 &amp; "-" &amp; 'PROJECT NAME NOV'!$C54, Settings!$H:$H,0)), "")</f>
        <v>106.25</v>
      </c>
      <c r="U54" s="19">
        <f>IFERROR(INDEX(Settings!$G:$G, MATCH('PROJECT NAME NOV'!$B54 &amp; "-" &amp; 'PROJECT NAME NOV'!$C54, Settings!$H:$H, 0)), "")</f>
        <v>850</v>
      </c>
      <c r="V54" s="20">
        <f t="shared" si="25"/>
        <v>0</v>
      </c>
      <c r="W54" s="20">
        <f t="shared" si="22"/>
        <v>0</v>
      </c>
      <c r="X54" s="19">
        <f t="shared" si="8"/>
        <v>0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44">
        <f>IFERROR(INDEX(Settings!$F:$F, MATCH('PROJECT NAME NOV'!$B54 &amp; "-" &amp; 'PROJECT NAME NOV'!$C54, Settings!$H:$H,0)), "")</f>
        <v>106.25</v>
      </c>
      <c r="AN54" s="44">
        <f>IFERROR(INDEX(Settings!$G:$G, MATCH('PROJECT NAME NOV'!$B54 &amp; "-" &amp; 'PROJECT NAME NOV'!$C54, Settings!$H:$H, 0)), "")</f>
        <v>850</v>
      </c>
      <c r="AO54" s="21">
        <f t="shared" si="9"/>
        <v>0</v>
      </c>
      <c r="AP54" s="21">
        <f t="shared" si="10"/>
        <v>0</v>
      </c>
      <c r="AQ54" s="44">
        <f t="shared" si="11"/>
        <v>0</v>
      </c>
      <c r="AR54" s="44">
        <f t="shared" si="12"/>
        <v>0</v>
      </c>
      <c r="AS54" s="44">
        <f t="shared" si="13"/>
        <v>0</v>
      </c>
      <c r="AT54" s="59"/>
      <c r="AU54" s="21">
        <v>0</v>
      </c>
      <c r="AV54" s="21">
        <v>0</v>
      </c>
      <c r="AW54" s="21">
        <v>8</v>
      </c>
      <c r="AX54" s="21">
        <v>0</v>
      </c>
      <c r="AY54" s="21">
        <v>8</v>
      </c>
      <c r="AZ54" s="21">
        <v>0</v>
      </c>
      <c r="BA54" s="21">
        <v>8</v>
      </c>
      <c r="BB54" s="21">
        <v>4</v>
      </c>
      <c r="BC54" s="21">
        <v>8</v>
      </c>
      <c r="BD54" s="21">
        <v>6</v>
      </c>
      <c r="BE54" s="21">
        <v>8</v>
      </c>
      <c r="BF54" s="27">
        <v>6</v>
      </c>
      <c r="BG54" s="27">
        <v>8</v>
      </c>
      <c r="BH54" s="21">
        <v>0</v>
      </c>
      <c r="BI54" s="8">
        <f t="shared" si="14"/>
        <v>48</v>
      </c>
      <c r="BJ54" s="8">
        <f t="shared" si="15"/>
        <v>16</v>
      </c>
      <c r="BK54" s="19">
        <f>IFERROR(INDEX(Settings!$F:$F, MATCH('PROJECT NAME NOV'!$B54 &amp; "-" &amp; 'PROJECT NAME NOV'!$C54, Settings!$H:$H,0)), "")</f>
        <v>106.25</v>
      </c>
      <c r="BL54" s="19">
        <f>IFERROR(INDEX(Settings!$G:$G, MATCH('PROJECT NAME NOV'!$B54 &amp; "-" &amp; 'PROJECT NAME NOV'!$C54, Settings!$H:$H, 0)), "")</f>
        <v>850</v>
      </c>
      <c r="BM54" s="20">
        <f t="shared" si="26"/>
        <v>7650</v>
      </c>
      <c r="BN54" s="20">
        <f t="shared" si="23"/>
        <v>382.5</v>
      </c>
      <c r="BO54" s="19">
        <f t="shared" si="16"/>
        <v>7267.5</v>
      </c>
      <c r="BP54" s="54"/>
      <c r="BQ54" s="21">
        <v>8</v>
      </c>
      <c r="BR54" s="21">
        <v>0</v>
      </c>
      <c r="BS54" s="27">
        <v>8</v>
      </c>
      <c r="BT54" s="27">
        <v>0</v>
      </c>
      <c r="BU54" s="27">
        <v>8</v>
      </c>
      <c r="BV54" s="27">
        <v>0</v>
      </c>
      <c r="BW54" s="27">
        <v>8</v>
      </c>
      <c r="BX54" s="27">
        <v>0</v>
      </c>
      <c r="BY54" s="27">
        <v>8</v>
      </c>
      <c r="BZ54" s="27">
        <v>0</v>
      </c>
      <c r="CA54" s="27">
        <v>8</v>
      </c>
      <c r="CB54" s="27">
        <v>0</v>
      </c>
      <c r="CC54" s="27">
        <v>8</v>
      </c>
      <c r="CD54" s="27">
        <v>0</v>
      </c>
      <c r="CE54" s="8">
        <f t="shared" si="17"/>
        <v>56</v>
      </c>
      <c r="CF54" s="8">
        <f t="shared" si="18"/>
        <v>0</v>
      </c>
      <c r="CG54" s="19">
        <f>IFERROR(INDEX(Settings!$F:$F, MATCH('PROJECT NAME NOV'!$B54 &amp; "-" &amp; 'PROJECT NAME NOV'!$C54, Settings!$H:$H,0)), "")</f>
        <v>106.25</v>
      </c>
      <c r="CH54" s="19">
        <f>IFERROR(INDEX(Settings!$G:$G, MATCH('PROJECT NAME NOV'!$B54 &amp; "-" &amp; 'PROJECT NAME NOV'!$C54, Settings!$H:$H, 0)), "")</f>
        <v>850</v>
      </c>
      <c r="CI54" s="20">
        <f t="shared" si="27"/>
        <v>5950</v>
      </c>
      <c r="CJ54" s="20">
        <f t="shared" si="24"/>
        <v>297.5</v>
      </c>
      <c r="CK54" s="19">
        <f t="shared" si="19"/>
        <v>5652.5</v>
      </c>
      <c r="CM54" s="27">
        <v>8</v>
      </c>
      <c r="CN54" s="27">
        <v>0</v>
      </c>
      <c r="CO54" s="27">
        <v>0</v>
      </c>
      <c r="CP54" s="27">
        <v>0</v>
      </c>
      <c r="CQ54" s="27"/>
      <c r="CR54" s="27">
        <v>0</v>
      </c>
      <c r="CS54" s="8">
        <f t="shared" si="43"/>
        <v>8</v>
      </c>
      <c r="CT54" s="8">
        <f t="shared" si="44"/>
        <v>0</v>
      </c>
      <c r="CU54" s="19">
        <f>IFERROR(INDEX(Settings!$F:$F, MATCH('PROJECT NAME NOV'!$B54 &amp; "-" &amp; 'PROJECT NAME NOV'!$C54, Settings!$H:$H,0)), "")</f>
        <v>106.25</v>
      </c>
      <c r="CV54" s="19">
        <f>IFERROR(INDEX(Settings!$G:$G, MATCH('PROJECT NAME NOV'!$B54 &amp; "-" &amp; 'PROJECT NAME NOV'!$C54, Settings!$H:$H, 0)), "")</f>
        <v>850</v>
      </c>
      <c r="CW54" s="19">
        <f t="shared" si="20"/>
        <v>850</v>
      </c>
      <c r="CX54" s="20">
        <f t="shared" si="21"/>
        <v>42.5</v>
      </c>
      <c r="CY54" s="19">
        <f t="shared" si="45"/>
        <v>807.5</v>
      </c>
    </row>
    <row r="55" spans="2:112" ht="14.25" customHeight="1" x14ac:dyDescent="0.3">
      <c r="B55" s="3" t="s">
        <v>65</v>
      </c>
      <c r="C55" s="1" t="s">
        <v>29</v>
      </c>
      <c r="D55" s="3"/>
      <c r="E55" s="4" t="s">
        <v>129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8"/>
      <c r="S55" s="8"/>
      <c r="T55" s="19"/>
      <c r="U55" s="19"/>
      <c r="V55" s="20"/>
      <c r="W55" s="20"/>
      <c r="X55" s="19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44"/>
      <c r="AN55" s="44"/>
      <c r="AO55" s="21"/>
      <c r="AP55" s="21"/>
      <c r="AQ55" s="44"/>
      <c r="AR55" s="44"/>
      <c r="AS55" s="44"/>
      <c r="AT55" s="59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7"/>
      <c r="BG55" s="27"/>
      <c r="BH55" s="21"/>
      <c r="BI55" s="8">
        <f t="shared" ref="BI55" si="46">SUM(AU55,AW55,AY55,BA55,BC55,BE55,BG55)</f>
        <v>0</v>
      </c>
      <c r="BJ55" s="8">
        <f t="shared" ref="BJ55" si="47">SUM(AV55,AX55,AZ55,BB55,BD55,BF55,BH55)</f>
        <v>0</v>
      </c>
      <c r="BK55" s="19">
        <f>IFERROR(INDEX(Settings!$F:$F, MATCH('PROJECT NAME NOV'!$B55 &amp; "-" &amp; 'PROJECT NAME NOV'!$C55, Settings!$H:$H,0)), "")</f>
        <v>106.25</v>
      </c>
      <c r="BL55" s="19">
        <f>IFERROR(INDEX(Settings!$G:$G, MATCH('PROJECT NAME NOV'!$B55 &amp; "-" &amp; 'PROJECT NAME NOV'!$C55, Settings!$H:$H, 0)), "")</f>
        <v>850</v>
      </c>
      <c r="BM55" s="20">
        <f t="shared" si="26"/>
        <v>0</v>
      </c>
      <c r="BN55" s="20">
        <f t="shared" ref="BN55" si="48">BM55*5%</f>
        <v>0</v>
      </c>
      <c r="BO55" s="19">
        <f t="shared" ref="BO55" si="49">BM55-BN55</f>
        <v>0</v>
      </c>
      <c r="BP55" s="54"/>
      <c r="BQ55" s="21">
        <v>0</v>
      </c>
      <c r="BR55" s="21">
        <v>0</v>
      </c>
      <c r="BS55" s="27">
        <v>8</v>
      </c>
      <c r="BT55" s="27">
        <v>4</v>
      </c>
      <c r="BU55" s="27">
        <v>8</v>
      </c>
      <c r="BV55" s="27">
        <v>0</v>
      </c>
      <c r="BW55" s="27">
        <v>8</v>
      </c>
      <c r="BX55" s="27">
        <v>4</v>
      </c>
      <c r="BY55" s="27">
        <v>8</v>
      </c>
      <c r="BZ55" s="27">
        <v>4</v>
      </c>
      <c r="CA55" s="27">
        <v>8</v>
      </c>
      <c r="CB55" s="27">
        <v>4</v>
      </c>
      <c r="CC55" s="27">
        <v>8</v>
      </c>
      <c r="CD55" s="27"/>
      <c r="CE55" s="8">
        <f t="shared" si="17"/>
        <v>48</v>
      </c>
      <c r="CF55" s="8">
        <f t="shared" si="18"/>
        <v>16</v>
      </c>
      <c r="CG55" s="19">
        <f>IFERROR(INDEX(Settings!$F:$F, MATCH('PROJECT NAME NOV'!$B55 &amp; "-" &amp; 'PROJECT NAME NOV'!$C55, Settings!$H:$H,0)), "")</f>
        <v>106.25</v>
      </c>
      <c r="CH55" s="19">
        <f>IFERROR(INDEX(Settings!$G:$G, MATCH('PROJECT NAME NOV'!$B55 &amp; "-" &amp; 'PROJECT NAME NOV'!$C55, Settings!$H:$H, 0)), "")</f>
        <v>850</v>
      </c>
      <c r="CI55" s="20">
        <f t="shared" si="27"/>
        <v>7650</v>
      </c>
      <c r="CJ55" s="20">
        <f t="shared" si="24"/>
        <v>382.5</v>
      </c>
      <c r="CK55" s="19">
        <f t="shared" si="19"/>
        <v>7267.5</v>
      </c>
      <c r="CM55" s="27">
        <v>8</v>
      </c>
      <c r="CN55" s="27">
        <v>4</v>
      </c>
      <c r="CO55" s="27">
        <v>0</v>
      </c>
      <c r="CP55" s="27"/>
      <c r="CQ55" s="27"/>
      <c r="CR55" s="27"/>
      <c r="CS55" s="8">
        <f t="shared" si="43"/>
        <v>8</v>
      </c>
      <c r="CT55" s="8">
        <f t="shared" si="44"/>
        <v>4</v>
      </c>
      <c r="CU55" s="19">
        <f>IFERROR(INDEX(Settings!$F:$F, MATCH('PROJECT NAME NOV'!$B55 &amp; "-" &amp; 'PROJECT NAME NOV'!$C55, Settings!$H:$H,0)), "")</f>
        <v>106.25</v>
      </c>
      <c r="CV55" s="19">
        <f>IFERROR(INDEX(Settings!$G:$G, MATCH('PROJECT NAME NOV'!$B55 &amp; "-" &amp; 'PROJECT NAME NOV'!$C55, Settings!$H:$H, 0)), "")</f>
        <v>850</v>
      </c>
      <c r="CW55" s="19">
        <f t="shared" si="20"/>
        <v>1275</v>
      </c>
      <c r="CX55" s="20">
        <f t="shared" ref="CX55" si="50">CW55*5%</f>
        <v>63.75</v>
      </c>
      <c r="CY55" s="19">
        <f t="shared" ref="CY55" si="51">CW55-CX55</f>
        <v>1211.25</v>
      </c>
    </row>
    <row r="56" spans="2:112" ht="14.25" customHeight="1" x14ac:dyDescent="0.3">
      <c r="B56" s="3" t="s">
        <v>65</v>
      </c>
      <c r="C56" s="1" t="s">
        <v>29</v>
      </c>
      <c r="D56" s="3"/>
      <c r="E56" s="4" t="s">
        <v>139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8"/>
      <c r="S56" s="8"/>
      <c r="T56" s="19"/>
      <c r="U56" s="19"/>
      <c r="V56" s="20"/>
      <c r="W56" s="20"/>
      <c r="X56" s="19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44"/>
      <c r="AN56" s="44"/>
      <c r="AO56" s="21"/>
      <c r="AP56" s="21"/>
      <c r="AQ56" s="44"/>
      <c r="AR56" s="44"/>
      <c r="AS56" s="44"/>
      <c r="AT56" s="59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7"/>
      <c r="BG56" s="27"/>
      <c r="BH56" s="21"/>
      <c r="BI56" s="8"/>
      <c r="BJ56" s="8"/>
      <c r="BK56" s="19"/>
      <c r="BL56" s="19"/>
      <c r="BM56" s="20"/>
      <c r="BN56" s="20"/>
      <c r="BO56" s="19"/>
      <c r="BP56" s="54"/>
      <c r="BQ56" s="21"/>
      <c r="BR56" s="21"/>
      <c r="BS56" s="27"/>
      <c r="BT56" s="27"/>
      <c r="BU56" s="27"/>
      <c r="BV56" s="27"/>
      <c r="BW56" s="27">
        <v>8</v>
      </c>
      <c r="BX56" s="27">
        <v>4</v>
      </c>
      <c r="BY56" s="27">
        <v>8</v>
      </c>
      <c r="BZ56" s="27">
        <v>4</v>
      </c>
      <c r="CA56" s="27">
        <v>8</v>
      </c>
      <c r="CB56" s="27">
        <v>4</v>
      </c>
      <c r="CC56" s="27">
        <v>8</v>
      </c>
      <c r="CD56" s="27"/>
      <c r="CE56" s="8">
        <f t="shared" ref="CE56:CE62" si="52">SUM(BQ56,BS56,BU56,BW56,BY56,CA56,CC56)</f>
        <v>32</v>
      </c>
      <c r="CF56" s="8">
        <f t="shared" ref="CF56:CF62" si="53">SUM(BR56,BT56,BV56,BX56,BZ56,CB56,CD56)</f>
        <v>12</v>
      </c>
      <c r="CG56" s="19">
        <f>IFERROR(INDEX(Settings!$F:$F, MATCH('PROJECT NAME NOV'!$B56 &amp; "-" &amp; 'PROJECT NAME NOV'!$C56, Settings!$H:$H,0)), "")</f>
        <v>106.25</v>
      </c>
      <c r="CH56" s="19">
        <f>IFERROR(INDEX(Settings!$G:$G, MATCH('PROJECT NAME NOV'!$B56 &amp; "-" &amp; 'PROJECT NAME NOV'!$C56, Settings!$H:$H, 0)), "")</f>
        <v>850</v>
      </c>
      <c r="CI56" s="20">
        <f t="shared" ref="CI56:CI62" si="54">(CE56*CG56)+(CF56*CG56*1.5)</f>
        <v>5312.5</v>
      </c>
      <c r="CJ56" s="20">
        <f t="shared" ref="CJ56:CJ62" si="55">CI56*5%</f>
        <v>265.625</v>
      </c>
      <c r="CK56" s="19">
        <f t="shared" si="19"/>
        <v>5046.875</v>
      </c>
      <c r="CM56" s="27"/>
      <c r="CN56" s="27"/>
      <c r="CO56" s="27"/>
      <c r="CP56" s="27"/>
      <c r="CQ56" s="27"/>
      <c r="CR56" s="27"/>
      <c r="CS56" s="8">
        <f t="shared" si="43"/>
        <v>0</v>
      </c>
      <c r="CT56" s="8">
        <f t="shared" si="44"/>
        <v>0</v>
      </c>
      <c r="CU56" s="19">
        <f>IFERROR(INDEX(Settings!$F:$F, MATCH('PROJECT NAME NOV'!$B56 &amp; "-" &amp; 'PROJECT NAME NOV'!$C56, Settings!$H:$H,0)), "")</f>
        <v>106.25</v>
      </c>
      <c r="CV56" s="19">
        <f>IFERROR(INDEX(Settings!$G:$G, MATCH('PROJECT NAME NOV'!$B56 &amp; "-" &amp; 'PROJECT NAME NOV'!$C56, Settings!$H:$H, 0)), "")</f>
        <v>850</v>
      </c>
      <c r="CW56" s="19">
        <f t="shared" si="20"/>
        <v>0</v>
      </c>
      <c r="CX56" s="20">
        <f t="shared" ref="CX56:CX61" si="56">CW56*5%</f>
        <v>0</v>
      </c>
      <c r="CY56" s="19">
        <f t="shared" ref="CY56:CY61" si="57">CW56-CX56</f>
        <v>0</v>
      </c>
    </row>
    <row r="57" spans="2:112" ht="14.25" customHeight="1" x14ac:dyDescent="0.4">
      <c r="B57" s="3" t="s">
        <v>65</v>
      </c>
      <c r="C57" s="1" t="s">
        <v>29</v>
      </c>
      <c r="D57" s="3"/>
      <c r="E57" s="4" t="s">
        <v>140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8"/>
      <c r="S57" s="8"/>
      <c r="T57" s="19"/>
      <c r="U57" s="19"/>
      <c r="V57" s="20"/>
      <c r="W57" s="20"/>
      <c r="X57" s="19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44"/>
      <c r="AN57" s="44"/>
      <c r="AO57" s="21"/>
      <c r="AP57" s="21"/>
      <c r="AQ57" s="44"/>
      <c r="AR57" s="44"/>
      <c r="AS57" s="44"/>
      <c r="AT57" s="59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7"/>
      <c r="BG57" s="27"/>
      <c r="BH57" s="21"/>
      <c r="BI57" s="8"/>
      <c r="BJ57" s="8"/>
      <c r="BK57" s="19"/>
      <c r="BL57" s="19"/>
      <c r="BM57" s="20"/>
      <c r="BN57" s="20"/>
      <c r="BO57" s="19"/>
      <c r="BP57" s="54"/>
      <c r="BQ57" s="21"/>
      <c r="BR57" s="21"/>
      <c r="BS57" s="27"/>
      <c r="BT57" s="27"/>
      <c r="BU57" s="27"/>
      <c r="BV57" s="27"/>
      <c r="BW57" s="27">
        <v>8</v>
      </c>
      <c r="BX57" s="27">
        <v>4</v>
      </c>
      <c r="BY57" s="27">
        <v>8</v>
      </c>
      <c r="BZ57" s="27">
        <v>4</v>
      </c>
      <c r="CA57" s="27">
        <v>8</v>
      </c>
      <c r="CB57" s="27">
        <v>4</v>
      </c>
      <c r="CC57" s="27">
        <v>8</v>
      </c>
      <c r="CD57" s="27"/>
      <c r="CE57" s="8">
        <f t="shared" si="52"/>
        <v>32</v>
      </c>
      <c r="CF57" s="8">
        <f t="shared" si="53"/>
        <v>12</v>
      </c>
      <c r="CG57" s="19">
        <f>IFERROR(INDEX(Settings!$F:$F, MATCH('PROJECT NAME NOV'!$B57 &amp; "-" &amp; 'PROJECT NAME NOV'!$C57, Settings!$H:$H,0)), "")</f>
        <v>106.25</v>
      </c>
      <c r="CH57" s="19">
        <f>IFERROR(INDEX(Settings!$G:$G, MATCH('PROJECT NAME NOV'!$B57 &amp; "-" &amp; 'PROJECT NAME NOV'!$C57, Settings!$H:$H, 0)), "")</f>
        <v>850</v>
      </c>
      <c r="CI57" s="20">
        <f t="shared" si="54"/>
        <v>5312.5</v>
      </c>
      <c r="CJ57" s="20">
        <f t="shared" si="55"/>
        <v>265.625</v>
      </c>
      <c r="CK57" s="19">
        <f t="shared" si="19"/>
        <v>5046.875</v>
      </c>
      <c r="CM57" s="27"/>
      <c r="CN57" s="27"/>
      <c r="CO57" s="27"/>
      <c r="CP57" s="27"/>
      <c r="CQ57" s="27"/>
      <c r="CR57" s="27"/>
      <c r="CS57" s="8">
        <f t="shared" si="43"/>
        <v>0</v>
      </c>
      <c r="CT57" s="8">
        <f t="shared" si="44"/>
        <v>0</v>
      </c>
      <c r="CU57" s="19">
        <f>IFERROR(INDEX(Settings!$F:$F, MATCH('PROJECT NAME NOV'!$B57 &amp; "-" &amp; 'PROJECT NAME NOV'!$C57, Settings!$H:$H,0)), "")</f>
        <v>106.25</v>
      </c>
      <c r="CV57" s="19">
        <f>IFERROR(INDEX(Settings!$G:$G, MATCH('PROJECT NAME NOV'!$B57 &amp; "-" &amp; 'PROJECT NAME NOV'!$C57, Settings!$H:$H, 0)), "")</f>
        <v>850</v>
      </c>
      <c r="CW57" s="19">
        <f t="shared" si="20"/>
        <v>0</v>
      </c>
      <c r="CX57" s="20">
        <f t="shared" si="56"/>
        <v>0</v>
      </c>
      <c r="CY57" s="19">
        <f t="shared" si="57"/>
        <v>0</v>
      </c>
      <c r="DD57" s="95"/>
      <c r="DE57" s="94"/>
      <c r="DF57" s="94"/>
    </row>
    <row r="58" spans="2:112" ht="14.25" customHeight="1" x14ac:dyDescent="0.4">
      <c r="B58" s="3" t="s">
        <v>65</v>
      </c>
      <c r="C58" s="1" t="s">
        <v>29</v>
      </c>
      <c r="D58" s="3"/>
      <c r="E58" s="4" t="s">
        <v>141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8"/>
      <c r="S58" s="8"/>
      <c r="T58" s="19"/>
      <c r="U58" s="19"/>
      <c r="V58" s="20"/>
      <c r="W58" s="20"/>
      <c r="X58" s="19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44"/>
      <c r="AN58" s="44"/>
      <c r="AO58" s="21"/>
      <c r="AP58" s="21"/>
      <c r="AQ58" s="44"/>
      <c r="AR58" s="44"/>
      <c r="AS58" s="44"/>
      <c r="AT58" s="59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7"/>
      <c r="BG58" s="27"/>
      <c r="BH58" s="21"/>
      <c r="BI58" s="8"/>
      <c r="BJ58" s="8"/>
      <c r="BK58" s="19"/>
      <c r="BL58" s="19"/>
      <c r="BM58" s="20"/>
      <c r="BN58" s="20"/>
      <c r="BO58" s="19"/>
      <c r="BP58" s="54"/>
      <c r="BQ58" s="21"/>
      <c r="BR58" s="21"/>
      <c r="BS58" s="27"/>
      <c r="BT58" s="27"/>
      <c r="BU58" s="27"/>
      <c r="BV58" s="27"/>
      <c r="BW58" s="27">
        <v>8</v>
      </c>
      <c r="BX58" s="27">
        <v>4</v>
      </c>
      <c r="BY58" s="27">
        <v>8</v>
      </c>
      <c r="BZ58" s="27">
        <v>4</v>
      </c>
      <c r="CA58" s="27">
        <v>8</v>
      </c>
      <c r="CB58" s="27">
        <v>4</v>
      </c>
      <c r="CC58" s="27">
        <v>8</v>
      </c>
      <c r="CD58" s="27"/>
      <c r="CE58" s="8">
        <f t="shared" si="52"/>
        <v>32</v>
      </c>
      <c r="CF58" s="8">
        <f t="shared" si="53"/>
        <v>12</v>
      </c>
      <c r="CG58" s="19">
        <f>IFERROR(INDEX(Settings!$F:$F, MATCH('PROJECT NAME NOV'!$B58 &amp; "-" &amp; 'PROJECT NAME NOV'!$C58, Settings!$H:$H,0)), "")</f>
        <v>106.25</v>
      </c>
      <c r="CH58" s="19">
        <f>IFERROR(INDEX(Settings!$G:$G, MATCH('PROJECT NAME NOV'!$B58 &amp; "-" &amp; 'PROJECT NAME NOV'!$C58, Settings!$H:$H, 0)), "")</f>
        <v>850</v>
      </c>
      <c r="CI58" s="20">
        <f t="shared" si="54"/>
        <v>5312.5</v>
      </c>
      <c r="CJ58" s="20">
        <f t="shared" si="55"/>
        <v>265.625</v>
      </c>
      <c r="CK58" s="19">
        <f t="shared" si="19"/>
        <v>5046.875</v>
      </c>
      <c r="CM58" s="27"/>
      <c r="CN58" s="27"/>
      <c r="CO58" s="27"/>
      <c r="CP58" s="27"/>
      <c r="CQ58" s="27"/>
      <c r="CR58" s="27"/>
      <c r="CS58" s="8">
        <f t="shared" si="43"/>
        <v>0</v>
      </c>
      <c r="CT58" s="8">
        <f t="shared" si="44"/>
        <v>0</v>
      </c>
      <c r="CU58" s="19">
        <f>IFERROR(INDEX(Settings!$F:$F, MATCH('PROJECT NAME NOV'!$B58 &amp; "-" &amp; 'PROJECT NAME NOV'!$C58, Settings!$H:$H,0)), "")</f>
        <v>106.25</v>
      </c>
      <c r="CV58" s="19">
        <f>IFERROR(INDEX(Settings!$G:$G, MATCH('PROJECT NAME NOV'!$B58 &amp; "-" &amp; 'PROJECT NAME NOV'!$C58, Settings!$H:$H, 0)), "")</f>
        <v>850</v>
      </c>
      <c r="CW58" s="19">
        <f t="shared" si="20"/>
        <v>0</v>
      </c>
      <c r="CX58" s="20">
        <f t="shared" si="56"/>
        <v>0</v>
      </c>
      <c r="CY58" s="19">
        <f t="shared" si="57"/>
        <v>0</v>
      </c>
      <c r="DD58" s="95"/>
      <c r="DE58" s="94"/>
      <c r="DF58" s="94"/>
    </row>
    <row r="59" spans="2:112" ht="14.25" customHeight="1" x14ac:dyDescent="0.4">
      <c r="B59" s="3" t="s">
        <v>65</v>
      </c>
      <c r="C59" s="1" t="s">
        <v>29</v>
      </c>
      <c r="D59" s="3"/>
      <c r="E59" s="4" t="s">
        <v>142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8"/>
      <c r="S59" s="8"/>
      <c r="T59" s="19"/>
      <c r="U59" s="19"/>
      <c r="V59" s="20"/>
      <c r="W59" s="20"/>
      <c r="X59" s="19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44"/>
      <c r="AN59" s="44"/>
      <c r="AO59" s="21"/>
      <c r="AP59" s="21"/>
      <c r="AQ59" s="44"/>
      <c r="AR59" s="44"/>
      <c r="AS59" s="44"/>
      <c r="AT59" s="59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7"/>
      <c r="BG59" s="27"/>
      <c r="BH59" s="21"/>
      <c r="BI59" s="8"/>
      <c r="BJ59" s="8"/>
      <c r="BK59" s="19"/>
      <c r="BL59" s="19"/>
      <c r="BM59" s="20"/>
      <c r="BN59" s="20"/>
      <c r="BO59" s="19"/>
      <c r="BP59" s="54"/>
      <c r="BQ59" s="21"/>
      <c r="BR59" s="21"/>
      <c r="BS59" s="27"/>
      <c r="BT59" s="27"/>
      <c r="BU59" s="27"/>
      <c r="BV59" s="27"/>
      <c r="BW59" s="27">
        <v>8</v>
      </c>
      <c r="BX59" s="27">
        <v>4</v>
      </c>
      <c r="BY59" s="27">
        <v>8</v>
      </c>
      <c r="BZ59" s="27">
        <v>4</v>
      </c>
      <c r="CA59" s="27">
        <v>8</v>
      </c>
      <c r="CB59" s="27">
        <v>4</v>
      </c>
      <c r="CC59" s="27">
        <v>8</v>
      </c>
      <c r="CD59" s="27"/>
      <c r="CE59" s="8">
        <f t="shared" si="52"/>
        <v>32</v>
      </c>
      <c r="CF59" s="8">
        <f t="shared" si="53"/>
        <v>12</v>
      </c>
      <c r="CG59" s="19">
        <f>IFERROR(INDEX(Settings!$F:$F, MATCH('PROJECT NAME NOV'!$B59 &amp; "-" &amp; 'PROJECT NAME NOV'!$C59, Settings!$H:$H,0)), "")</f>
        <v>106.25</v>
      </c>
      <c r="CH59" s="19">
        <f>IFERROR(INDEX(Settings!$G:$G, MATCH('PROJECT NAME NOV'!$B59 &amp; "-" &amp; 'PROJECT NAME NOV'!$C59, Settings!$H:$H, 0)), "")</f>
        <v>850</v>
      </c>
      <c r="CI59" s="20">
        <f t="shared" si="54"/>
        <v>5312.5</v>
      </c>
      <c r="CJ59" s="20">
        <f t="shared" si="55"/>
        <v>265.625</v>
      </c>
      <c r="CK59" s="19">
        <f t="shared" si="19"/>
        <v>5046.875</v>
      </c>
      <c r="CM59" s="27"/>
      <c r="CN59" s="27"/>
      <c r="CO59" s="27"/>
      <c r="CP59" s="27"/>
      <c r="CQ59" s="27"/>
      <c r="CR59" s="27"/>
      <c r="CS59" s="8">
        <f t="shared" si="43"/>
        <v>0</v>
      </c>
      <c r="CT59" s="8">
        <f t="shared" si="44"/>
        <v>0</v>
      </c>
      <c r="CU59" s="19">
        <f>IFERROR(INDEX(Settings!$F:$F, MATCH('PROJECT NAME NOV'!$B59 &amp; "-" &amp; 'PROJECT NAME NOV'!$C59, Settings!$H:$H,0)), "")</f>
        <v>106.25</v>
      </c>
      <c r="CV59" s="19">
        <f>IFERROR(INDEX(Settings!$G:$G, MATCH('PROJECT NAME NOV'!$B59 &amp; "-" &amp; 'PROJECT NAME NOV'!$C59, Settings!$H:$H, 0)), "")</f>
        <v>850</v>
      </c>
      <c r="CW59" s="19">
        <f t="shared" si="20"/>
        <v>0</v>
      </c>
      <c r="CX59" s="20">
        <f t="shared" si="56"/>
        <v>0</v>
      </c>
      <c r="CY59" s="19">
        <f t="shared" si="57"/>
        <v>0</v>
      </c>
      <c r="DD59" s="95"/>
      <c r="DE59" s="94"/>
      <c r="DF59" s="94"/>
    </row>
    <row r="60" spans="2:112" ht="14.25" customHeight="1" x14ac:dyDescent="0.4">
      <c r="B60" s="3" t="s">
        <v>65</v>
      </c>
      <c r="C60" s="1" t="s">
        <v>29</v>
      </c>
      <c r="D60" s="3"/>
      <c r="E60" s="4" t="s">
        <v>143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8"/>
      <c r="S60" s="8"/>
      <c r="T60" s="19"/>
      <c r="U60" s="19"/>
      <c r="V60" s="20"/>
      <c r="W60" s="20"/>
      <c r="X60" s="19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44"/>
      <c r="AN60" s="44"/>
      <c r="AO60" s="21"/>
      <c r="AP60" s="21"/>
      <c r="AQ60" s="44"/>
      <c r="AR60" s="44"/>
      <c r="AS60" s="44"/>
      <c r="AT60" s="59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7"/>
      <c r="BG60" s="27"/>
      <c r="BH60" s="21"/>
      <c r="BI60" s="8"/>
      <c r="BJ60" s="8"/>
      <c r="BK60" s="19"/>
      <c r="BL60" s="19"/>
      <c r="BM60" s="20"/>
      <c r="BN60" s="20"/>
      <c r="BO60" s="19"/>
      <c r="BP60" s="54"/>
      <c r="BQ60" s="21"/>
      <c r="BR60" s="21"/>
      <c r="BS60" s="27"/>
      <c r="BT60" s="27"/>
      <c r="BU60" s="27"/>
      <c r="BV60" s="27"/>
      <c r="BW60" s="27">
        <v>8</v>
      </c>
      <c r="BX60" s="27">
        <v>4</v>
      </c>
      <c r="BY60" s="27">
        <v>8</v>
      </c>
      <c r="BZ60" s="27">
        <v>4</v>
      </c>
      <c r="CA60" s="27">
        <v>8</v>
      </c>
      <c r="CB60" s="27">
        <v>4</v>
      </c>
      <c r="CC60" s="27">
        <v>8</v>
      </c>
      <c r="CD60" s="27"/>
      <c r="CE60" s="8">
        <f t="shared" si="52"/>
        <v>32</v>
      </c>
      <c r="CF60" s="8">
        <f t="shared" si="53"/>
        <v>12</v>
      </c>
      <c r="CG60" s="19">
        <f>IFERROR(INDEX(Settings!$F:$F, MATCH('PROJECT NAME NOV'!$B60 &amp; "-" &amp; 'PROJECT NAME NOV'!$C60, Settings!$H:$H,0)), "")</f>
        <v>106.25</v>
      </c>
      <c r="CH60" s="19">
        <f>IFERROR(INDEX(Settings!$G:$G, MATCH('PROJECT NAME NOV'!$B60 &amp; "-" &amp; 'PROJECT NAME NOV'!$C60, Settings!$H:$H, 0)), "")</f>
        <v>850</v>
      </c>
      <c r="CI60" s="20">
        <f t="shared" si="54"/>
        <v>5312.5</v>
      </c>
      <c r="CJ60" s="20">
        <f t="shared" si="55"/>
        <v>265.625</v>
      </c>
      <c r="CK60" s="19">
        <f t="shared" si="19"/>
        <v>5046.875</v>
      </c>
      <c r="CM60" s="27"/>
      <c r="CN60" s="27"/>
      <c r="CO60" s="27"/>
      <c r="CP60" s="27"/>
      <c r="CQ60" s="27"/>
      <c r="CR60" s="27"/>
      <c r="CS60" s="8">
        <f t="shared" si="43"/>
        <v>0</v>
      </c>
      <c r="CT60" s="8">
        <f t="shared" si="44"/>
        <v>0</v>
      </c>
      <c r="CU60" s="19">
        <f>IFERROR(INDEX(Settings!$F:$F, MATCH('PROJECT NAME NOV'!$B60 &amp; "-" &amp; 'PROJECT NAME NOV'!$C60, Settings!$H:$H,0)), "")</f>
        <v>106.25</v>
      </c>
      <c r="CV60" s="19">
        <f>IFERROR(INDEX(Settings!$G:$G, MATCH('PROJECT NAME NOV'!$B60 &amp; "-" &amp; 'PROJECT NAME NOV'!$C60, Settings!$H:$H, 0)), "")</f>
        <v>850</v>
      </c>
      <c r="CW60" s="19">
        <f t="shared" si="20"/>
        <v>0</v>
      </c>
      <c r="CX60" s="20">
        <f t="shared" si="56"/>
        <v>0</v>
      </c>
      <c r="CY60" s="19">
        <f t="shared" si="57"/>
        <v>0</v>
      </c>
      <c r="DD60" s="95"/>
      <c r="DE60" s="94"/>
      <c r="DF60" s="94"/>
    </row>
    <row r="61" spans="2:112" ht="14.25" customHeight="1" x14ac:dyDescent="0.4">
      <c r="B61" s="3" t="s">
        <v>65</v>
      </c>
      <c r="C61" s="1" t="s">
        <v>29</v>
      </c>
      <c r="D61" s="3"/>
      <c r="E61" s="4" t="s">
        <v>144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8"/>
      <c r="S61" s="8"/>
      <c r="T61" s="19"/>
      <c r="U61" s="19"/>
      <c r="V61" s="20"/>
      <c r="W61" s="20"/>
      <c r="X61" s="19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44"/>
      <c r="AN61" s="44"/>
      <c r="AO61" s="21"/>
      <c r="AP61" s="21"/>
      <c r="AQ61" s="44"/>
      <c r="AR61" s="44"/>
      <c r="AS61" s="44"/>
      <c r="AT61" s="59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7"/>
      <c r="BG61" s="27"/>
      <c r="BH61" s="21"/>
      <c r="BI61" s="8"/>
      <c r="BJ61" s="8"/>
      <c r="BK61" s="19"/>
      <c r="BL61" s="19"/>
      <c r="BM61" s="20"/>
      <c r="BN61" s="20"/>
      <c r="BO61" s="19"/>
      <c r="BP61" s="54"/>
      <c r="BQ61" s="21"/>
      <c r="BR61" s="21"/>
      <c r="BS61" s="27"/>
      <c r="BT61" s="27"/>
      <c r="BU61" s="27"/>
      <c r="BV61" s="27"/>
      <c r="BW61" s="27">
        <v>8</v>
      </c>
      <c r="BX61" s="27">
        <v>4</v>
      </c>
      <c r="BY61" s="27">
        <v>8</v>
      </c>
      <c r="BZ61" s="27">
        <v>4</v>
      </c>
      <c r="CA61" s="27">
        <v>8</v>
      </c>
      <c r="CB61" s="27">
        <v>4</v>
      </c>
      <c r="CC61" s="27">
        <v>8</v>
      </c>
      <c r="CD61" s="27"/>
      <c r="CE61" s="8">
        <f t="shared" si="52"/>
        <v>32</v>
      </c>
      <c r="CF61" s="8">
        <f t="shared" si="53"/>
        <v>12</v>
      </c>
      <c r="CG61" s="19">
        <f>IFERROR(INDEX(Settings!$F:$F, MATCH('PROJECT NAME NOV'!$B61 &amp; "-" &amp; 'PROJECT NAME NOV'!$C61, Settings!$H:$H,0)), "")</f>
        <v>106.25</v>
      </c>
      <c r="CH61" s="19">
        <f>IFERROR(INDEX(Settings!$G:$G, MATCH('PROJECT NAME NOV'!$B61 &amp; "-" &amp; 'PROJECT NAME NOV'!$C61, Settings!$H:$H, 0)), "")</f>
        <v>850</v>
      </c>
      <c r="CI61" s="20">
        <f t="shared" si="54"/>
        <v>5312.5</v>
      </c>
      <c r="CJ61" s="20">
        <f t="shared" si="55"/>
        <v>265.625</v>
      </c>
      <c r="CK61" s="19">
        <f t="shared" si="19"/>
        <v>5046.875</v>
      </c>
      <c r="CM61" s="27">
        <v>8</v>
      </c>
      <c r="CN61" s="27">
        <v>4</v>
      </c>
      <c r="CO61" s="27">
        <v>8</v>
      </c>
      <c r="CP61" s="27"/>
      <c r="CQ61" s="27"/>
      <c r="CR61" s="27"/>
      <c r="CS61" s="8">
        <f t="shared" si="43"/>
        <v>16</v>
      </c>
      <c r="CT61" s="8">
        <f t="shared" si="44"/>
        <v>4</v>
      </c>
      <c r="CU61" s="19">
        <f>IFERROR(INDEX(Settings!$F:$F, MATCH('PROJECT NAME NOV'!$B61 &amp; "-" &amp; 'PROJECT NAME NOV'!$C61, Settings!$H:$H,0)), "")</f>
        <v>106.25</v>
      </c>
      <c r="CV61" s="19">
        <f>IFERROR(INDEX(Settings!$G:$G, MATCH('PROJECT NAME NOV'!$B61 &amp; "-" &amp; 'PROJECT NAME NOV'!$C61, Settings!$H:$H, 0)), "")</f>
        <v>850</v>
      </c>
      <c r="CW61" s="19">
        <f t="shared" si="20"/>
        <v>2125</v>
      </c>
      <c r="CX61" s="20">
        <f t="shared" si="56"/>
        <v>106.25</v>
      </c>
      <c r="CY61" s="19">
        <f t="shared" si="57"/>
        <v>2018.75</v>
      </c>
      <c r="DD61" s="95"/>
      <c r="DE61" s="94"/>
      <c r="DF61" s="94"/>
    </row>
    <row r="62" spans="2:112" ht="14.25" customHeight="1" x14ac:dyDescent="0.4">
      <c r="B62" s="3" t="s">
        <v>65</v>
      </c>
      <c r="C62" s="1" t="s">
        <v>29</v>
      </c>
      <c r="D62" s="3"/>
      <c r="E62" s="4" t="s">
        <v>172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8"/>
      <c r="S62" s="8"/>
      <c r="T62" s="19"/>
      <c r="U62" s="19"/>
      <c r="V62" s="20"/>
      <c r="W62" s="20"/>
      <c r="X62" s="19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44"/>
      <c r="AN62" s="44"/>
      <c r="AO62" s="21"/>
      <c r="AP62" s="21"/>
      <c r="AQ62" s="44"/>
      <c r="AR62" s="44"/>
      <c r="AS62" s="44"/>
      <c r="AT62" s="59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7"/>
      <c r="BG62" s="27"/>
      <c r="BH62" s="21"/>
      <c r="BI62" s="8"/>
      <c r="BJ62" s="8"/>
      <c r="BK62" s="19"/>
      <c r="BL62" s="19"/>
      <c r="BM62" s="20"/>
      <c r="BN62" s="20"/>
      <c r="BO62" s="19"/>
      <c r="BP62" s="54"/>
      <c r="BQ62" s="21"/>
      <c r="BR62" s="21"/>
      <c r="BS62" s="27"/>
      <c r="BT62" s="27"/>
      <c r="BU62" s="27"/>
      <c r="BV62" s="27"/>
      <c r="BW62" s="27">
        <v>8</v>
      </c>
      <c r="BX62" s="27">
        <v>4</v>
      </c>
      <c r="BY62" s="27">
        <v>8</v>
      </c>
      <c r="BZ62" s="27">
        <v>4</v>
      </c>
      <c r="CA62" s="27">
        <v>8</v>
      </c>
      <c r="CB62" s="27">
        <v>4</v>
      </c>
      <c r="CC62" s="27">
        <v>8</v>
      </c>
      <c r="CD62" s="27"/>
      <c r="CE62" s="8">
        <f t="shared" si="52"/>
        <v>32</v>
      </c>
      <c r="CF62" s="8">
        <f t="shared" si="53"/>
        <v>12</v>
      </c>
      <c r="CG62" s="19">
        <f>IFERROR(INDEX(Settings!$F:$F, MATCH('PROJECT NAME NOV'!$B62 &amp; "-" &amp; 'PROJECT NAME NOV'!$C62, Settings!$H:$H,0)), "")</f>
        <v>106.25</v>
      </c>
      <c r="CH62" s="19">
        <f>IFERROR(INDEX(Settings!$G:$G, MATCH('PROJECT NAME NOV'!$B62 &amp; "-" &amp; 'PROJECT NAME NOV'!$C62, Settings!$H:$H, 0)), "")</f>
        <v>850</v>
      </c>
      <c r="CI62" s="20">
        <f t="shared" si="54"/>
        <v>5312.5</v>
      </c>
      <c r="CJ62" s="20">
        <f t="shared" si="55"/>
        <v>265.625</v>
      </c>
      <c r="CK62" s="19">
        <f t="shared" si="19"/>
        <v>5046.875</v>
      </c>
      <c r="CM62" s="27">
        <v>8</v>
      </c>
      <c r="CN62" s="27">
        <v>4</v>
      </c>
      <c r="CO62" s="27">
        <v>8</v>
      </c>
      <c r="CP62" s="27"/>
      <c r="CQ62" s="27"/>
      <c r="CR62" s="27"/>
      <c r="CS62" s="8">
        <f t="shared" ref="CS62:CS80" si="58">SUM(CM62,CO62,CQ62)</f>
        <v>16</v>
      </c>
      <c r="CT62" s="8">
        <f t="shared" ref="CT62:CT80" si="59">SUM(CN62,CP62,CR62)</f>
        <v>4</v>
      </c>
      <c r="CU62" s="19">
        <f>IFERROR(INDEX(Settings!$F:$F, MATCH('PROJECT NAME NOV'!$B62 &amp; "-" &amp; 'PROJECT NAME NOV'!$C62, Settings!$H:$H,0)), "")</f>
        <v>106.25</v>
      </c>
      <c r="CV62" s="19">
        <f>IFERROR(INDEX(Settings!$G:$G, MATCH('PROJECT NAME NOV'!$B62 &amp; "-" &amp; 'PROJECT NAME NOV'!$C62, Settings!$H:$H, 0)), "")</f>
        <v>850</v>
      </c>
      <c r="CW62" s="19">
        <f t="shared" si="20"/>
        <v>2125</v>
      </c>
      <c r="CX62" s="20">
        <f t="shared" ref="CX62:CX80" si="60">CW62*5%</f>
        <v>106.25</v>
      </c>
      <c r="CY62" s="19">
        <f t="shared" ref="CY62:CY80" si="61">CW62-CX62</f>
        <v>2018.75</v>
      </c>
      <c r="DD62" s="95"/>
      <c r="DE62" s="94"/>
      <c r="DF62" s="94"/>
    </row>
    <row r="63" spans="2:112" ht="14.25" customHeight="1" x14ac:dyDescent="0.4">
      <c r="B63" s="3" t="s">
        <v>65</v>
      </c>
      <c r="C63" s="1" t="s">
        <v>28</v>
      </c>
      <c r="D63" s="3"/>
      <c r="E63" s="4" t="s">
        <v>182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8"/>
      <c r="S63" s="8"/>
      <c r="T63" s="19"/>
      <c r="U63" s="19"/>
      <c r="V63" s="20"/>
      <c r="W63" s="20"/>
      <c r="X63" s="19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44"/>
      <c r="AN63" s="44"/>
      <c r="AO63" s="21"/>
      <c r="AP63" s="21"/>
      <c r="AQ63" s="44"/>
      <c r="AR63" s="44"/>
      <c r="AS63" s="44"/>
      <c r="AT63" s="59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7"/>
      <c r="BG63" s="27"/>
      <c r="BH63" s="21"/>
      <c r="BI63" s="8"/>
      <c r="BJ63" s="8"/>
      <c r="BK63" s="19"/>
      <c r="BL63" s="19"/>
      <c r="BM63" s="20"/>
      <c r="BN63" s="20"/>
      <c r="BO63" s="19"/>
      <c r="BP63" s="54"/>
      <c r="BQ63" s="21"/>
      <c r="BR63" s="21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8"/>
      <c r="CF63" s="8"/>
      <c r="CG63" s="19"/>
      <c r="CH63" s="19"/>
      <c r="CI63" s="20"/>
      <c r="CJ63" s="20"/>
      <c r="CK63" s="19"/>
      <c r="CM63" s="27">
        <v>8</v>
      </c>
      <c r="CN63" s="27">
        <v>4</v>
      </c>
      <c r="CO63" s="27">
        <v>8</v>
      </c>
      <c r="CP63" s="27"/>
      <c r="CQ63" s="27"/>
      <c r="CR63" s="27"/>
      <c r="CS63" s="8">
        <f t="shared" si="58"/>
        <v>16</v>
      </c>
      <c r="CT63" s="8">
        <f t="shared" si="59"/>
        <v>4</v>
      </c>
      <c r="CU63" s="19">
        <f>IFERROR(INDEX(Settings!$F:$F, MATCH('PROJECT NAME NOV'!$B63 &amp; "-" &amp; 'PROJECT NAME NOV'!$C63, Settings!$H:$H,0)), "")</f>
        <v>112.5</v>
      </c>
      <c r="CV63" s="19">
        <f>IFERROR(INDEX(Settings!$G:$G, MATCH('PROJECT NAME NOV'!$B63 &amp; "-" &amp; 'PROJECT NAME NOV'!$C63, Settings!$H:$H, 0)), "")</f>
        <v>900</v>
      </c>
      <c r="CW63" s="19">
        <f t="shared" si="20"/>
        <v>2250</v>
      </c>
      <c r="CX63" s="20">
        <f t="shared" si="60"/>
        <v>112.5</v>
      </c>
      <c r="CY63" s="19">
        <f t="shared" si="61"/>
        <v>2137.5</v>
      </c>
      <c r="DD63" s="95"/>
      <c r="DE63" s="94"/>
      <c r="DF63" s="94"/>
    </row>
    <row r="64" spans="2:112" ht="14.25" customHeight="1" x14ac:dyDescent="0.4">
      <c r="B64" s="3" t="s">
        <v>65</v>
      </c>
      <c r="C64" s="1" t="s">
        <v>28</v>
      </c>
      <c r="D64" s="3"/>
      <c r="E64" s="4" t="s">
        <v>140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8"/>
      <c r="S64" s="8"/>
      <c r="T64" s="19"/>
      <c r="U64" s="19"/>
      <c r="V64" s="20"/>
      <c r="W64" s="20"/>
      <c r="X64" s="19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44"/>
      <c r="AN64" s="44"/>
      <c r="AO64" s="21"/>
      <c r="AP64" s="21"/>
      <c r="AQ64" s="44"/>
      <c r="AR64" s="44"/>
      <c r="AS64" s="44"/>
      <c r="AT64" s="59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7"/>
      <c r="BG64" s="27"/>
      <c r="BH64" s="21"/>
      <c r="BI64" s="8"/>
      <c r="BJ64" s="8"/>
      <c r="BK64" s="19"/>
      <c r="BL64" s="19"/>
      <c r="BM64" s="20"/>
      <c r="BN64" s="20"/>
      <c r="BO64" s="19"/>
      <c r="BP64" s="54"/>
      <c r="BQ64" s="21"/>
      <c r="BR64" s="21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8"/>
      <c r="CF64" s="8"/>
      <c r="CG64" s="19"/>
      <c r="CH64" s="19"/>
      <c r="CI64" s="20"/>
      <c r="CJ64" s="20"/>
      <c r="CK64" s="19"/>
      <c r="CM64" s="27">
        <v>8</v>
      </c>
      <c r="CN64" s="27">
        <v>4</v>
      </c>
      <c r="CO64" s="27">
        <v>8</v>
      </c>
      <c r="CP64" s="27"/>
      <c r="CQ64" s="27"/>
      <c r="CR64" s="27"/>
      <c r="CS64" s="8">
        <f t="shared" si="58"/>
        <v>16</v>
      </c>
      <c r="CT64" s="8">
        <f t="shared" si="59"/>
        <v>4</v>
      </c>
      <c r="CU64" s="19">
        <f>IFERROR(INDEX(Settings!$F:$F, MATCH('PROJECT NAME NOV'!$B64 &amp; "-" &amp; 'PROJECT NAME NOV'!$C64, Settings!$H:$H,0)), "")</f>
        <v>112.5</v>
      </c>
      <c r="CV64" s="19">
        <f>IFERROR(INDEX(Settings!$G:$G, MATCH('PROJECT NAME NOV'!$B64 &amp; "-" &amp; 'PROJECT NAME NOV'!$C64, Settings!$H:$H, 0)), "")</f>
        <v>900</v>
      </c>
      <c r="CW64" s="19">
        <f t="shared" si="20"/>
        <v>2250</v>
      </c>
      <c r="CX64" s="20">
        <f t="shared" si="60"/>
        <v>112.5</v>
      </c>
      <c r="CY64" s="19">
        <f t="shared" si="61"/>
        <v>2137.5</v>
      </c>
      <c r="DD64" s="95"/>
      <c r="DE64" s="94"/>
      <c r="DF64" s="94"/>
    </row>
    <row r="65" spans="2:110" ht="14.25" customHeight="1" x14ac:dyDescent="0.4">
      <c r="B65" s="3" t="s">
        <v>65</v>
      </c>
      <c r="C65" s="1" t="s">
        <v>29</v>
      </c>
      <c r="D65" s="3"/>
      <c r="E65" s="4" t="s">
        <v>183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8"/>
      <c r="S65" s="8"/>
      <c r="T65" s="19"/>
      <c r="U65" s="19"/>
      <c r="V65" s="20"/>
      <c r="W65" s="20"/>
      <c r="X65" s="19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44"/>
      <c r="AN65" s="44"/>
      <c r="AO65" s="21"/>
      <c r="AP65" s="21"/>
      <c r="AQ65" s="44"/>
      <c r="AR65" s="44"/>
      <c r="AS65" s="44"/>
      <c r="AT65" s="59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7"/>
      <c r="BG65" s="27"/>
      <c r="BH65" s="21"/>
      <c r="BI65" s="8"/>
      <c r="BJ65" s="8"/>
      <c r="BK65" s="19"/>
      <c r="BL65" s="19"/>
      <c r="BM65" s="20"/>
      <c r="BN65" s="20"/>
      <c r="BO65" s="19"/>
      <c r="BP65" s="54"/>
      <c r="BQ65" s="21"/>
      <c r="BR65" s="21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8"/>
      <c r="CF65" s="8"/>
      <c r="CG65" s="19"/>
      <c r="CH65" s="19"/>
      <c r="CI65" s="20"/>
      <c r="CJ65" s="20"/>
      <c r="CK65" s="19"/>
      <c r="CM65" s="27">
        <v>8</v>
      </c>
      <c r="CN65" s="27">
        <v>4</v>
      </c>
      <c r="CO65" s="27">
        <v>8</v>
      </c>
      <c r="CP65" s="27"/>
      <c r="CQ65" s="27"/>
      <c r="CR65" s="27"/>
      <c r="CS65" s="8">
        <f t="shared" si="58"/>
        <v>16</v>
      </c>
      <c r="CT65" s="8">
        <f t="shared" si="59"/>
        <v>4</v>
      </c>
      <c r="CU65" s="19">
        <f>IFERROR(INDEX(Settings!$F:$F, MATCH('PROJECT NAME NOV'!$B65 &amp; "-" &amp; 'PROJECT NAME NOV'!$C65, Settings!$H:$H,0)), "")</f>
        <v>106.25</v>
      </c>
      <c r="CV65" s="19">
        <f>IFERROR(INDEX(Settings!$G:$G, MATCH('PROJECT NAME NOV'!$B65 &amp; "-" &amp; 'PROJECT NAME NOV'!$C65, Settings!$H:$H, 0)), "")</f>
        <v>850</v>
      </c>
      <c r="CW65" s="19">
        <f t="shared" si="20"/>
        <v>2125</v>
      </c>
      <c r="CX65" s="20">
        <f t="shared" si="60"/>
        <v>106.25</v>
      </c>
      <c r="CY65" s="19">
        <f t="shared" si="61"/>
        <v>2018.75</v>
      </c>
      <c r="DD65" s="95"/>
      <c r="DE65" s="94"/>
      <c r="DF65" s="94"/>
    </row>
    <row r="66" spans="2:110" ht="14.25" customHeight="1" x14ac:dyDescent="0.4">
      <c r="B66" s="3" t="s">
        <v>65</v>
      </c>
      <c r="C66" s="1" t="s">
        <v>29</v>
      </c>
      <c r="D66" s="3"/>
      <c r="E66" s="4" t="s">
        <v>184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8"/>
      <c r="S66" s="8"/>
      <c r="T66" s="19"/>
      <c r="U66" s="19"/>
      <c r="V66" s="20"/>
      <c r="W66" s="20"/>
      <c r="X66" s="19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44"/>
      <c r="AN66" s="44"/>
      <c r="AO66" s="21"/>
      <c r="AP66" s="21"/>
      <c r="AQ66" s="44"/>
      <c r="AR66" s="44"/>
      <c r="AS66" s="44"/>
      <c r="AT66" s="59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7"/>
      <c r="BG66" s="27"/>
      <c r="BH66" s="21"/>
      <c r="BI66" s="8"/>
      <c r="BJ66" s="8"/>
      <c r="BK66" s="19"/>
      <c r="BL66" s="19"/>
      <c r="BM66" s="20"/>
      <c r="BN66" s="20"/>
      <c r="BO66" s="19"/>
      <c r="BP66" s="54"/>
      <c r="BQ66" s="21"/>
      <c r="BR66" s="21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8"/>
      <c r="CF66" s="8"/>
      <c r="CG66" s="19"/>
      <c r="CH66" s="19"/>
      <c r="CI66" s="20"/>
      <c r="CJ66" s="20"/>
      <c r="CK66" s="19"/>
      <c r="CM66" s="27">
        <v>8</v>
      </c>
      <c r="CN66" s="27">
        <v>4</v>
      </c>
      <c r="CO66" s="27">
        <v>8</v>
      </c>
      <c r="CP66" s="27"/>
      <c r="CQ66" s="27"/>
      <c r="CR66" s="27"/>
      <c r="CS66" s="8">
        <f t="shared" si="58"/>
        <v>16</v>
      </c>
      <c r="CT66" s="8">
        <f t="shared" si="59"/>
        <v>4</v>
      </c>
      <c r="CU66" s="19">
        <f>IFERROR(INDEX(Settings!$F:$F, MATCH('PROJECT NAME NOV'!$B66 &amp; "-" &amp; 'PROJECT NAME NOV'!$C66, Settings!$H:$H,0)), "")</f>
        <v>106.25</v>
      </c>
      <c r="CV66" s="19">
        <f>IFERROR(INDEX(Settings!$G:$G, MATCH('PROJECT NAME NOV'!$B66 &amp; "-" &amp; 'PROJECT NAME NOV'!$C66, Settings!$H:$H, 0)), "")</f>
        <v>850</v>
      </c>
      <c r="CW66" s="19">
        <f t="shared" si="20"/>
        <v>2125</v>
      </c>
      <c r="CX66" s="20">
        <f t="shared" si="60"/>
        <v>106.25</v>
      </c>
      <c r="CY66" s="19">
        <f t="shared" si="61"/>
        <v>2018.75</v>
      </c>
      <c r="DD66" s="95"/>
      <c r="DE66" s="94"/>
      <c r="DF66" s="94"/>
    </row>
    <row r="67" spans="2:110" ht="14.25" customHeight="1" x14ac:dyDescent="0.4">
      <c r="B67" s="3" t="s">
        <v>65</v>
      </c>
      <c r="C67" s="1" t="s">
        <v>29</v>
      </c>
      <c r="D67" s="3"/>
      <c r="E67" s="4" t="s">
        <v>185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8"/>
      <c r="S67" s="8"/>
      <c r="T67" s="19"/>
      <c r="U67" s="19"/>
      <c r="V67" s="20"/>
      <c r="W67" s="20"/>
      <c r="X67" s="19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44"/>
      <c r="AN67" s="44"/>
      <c r="AO67" s="21"/>
      <c r="AP67" s="21"/>
      <c r="AQ67" s="44"/>
      <c r="AR67" s="44"/>
      <c r="AS67" s="44"/>
      <c r="AT67" s="59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7"/>
      <c r="BG67" s="27"/>
      <c r="BH67" s="21"/>
      <c r="BI67" s="8"/>
      <c r="BJ67" s="8"/>
      <c r="BK67" s="19"/>
      <c r="BL67" s="19"/>
      <c r="BM67" s="20"/>
      <c r="BN67" s="20"/>
      <c r="BO67" s="19"/>
      <c r="BP67" s="54"/>
      <c r="BQ67" s="21"/>
      <c r="BR67" s="21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8"/>
      <c r="CF67" s="8"/>
      <c r="CG67" s="19"/>
      <c r="CH67" s="19"/>
      <c r="CI67" s="20"/>
      <c r="CJ67" s="20"/>
      <c r="CK67" s="19"/>
      <c r="CM67" s="27">
        <v>8</v>
      </c>
      <c r="CN67" s="27">
        <v>4</v>
      </c>
      <c r="CO67" s="27">
        <v>8</v>
      </c>
      <c r="CP67" s="27"/>
      <c r="CQ67" s="27"/>
      <c r="CR67" s="27"/>
      <c r="CS67" s="8">
        <f t="shared" si="58"/>
        <v>16</v>
      </c>
      <c r="CT67" s="8">
        <f t="shared" si="59"/>
        <v>4</v>
      </c>
      <c r="CU67" s="19">
        <f>IFERROR(INDEX(Settings!$F:$F, MATCH('PROJECT NAME NOV'!$B67 &amp; "-" &amp; 'PROJECT NAME NOV'!$C67, Settings!$H:$H,0)), "")</f>
        <v>106.25</v>
      </c>
      <c r="CV67" s="19">
        <f>IFERROR(INDEX(Settings!$G:$G, MATCH('PROJECT NAME NOV'!$B67 &amp; "-" &amp; 'PROJECT NAME NOV'!$C67, Settings!$H:$H, 0)), "")</f>
        <v>850</v>
      </c>
      <c r="CW67" s="19">
        <f t="shared" si="20"/>
        <v>2125</v>
      </c>
      <c r="CX67" s="20">
        <f t="shared" si="60"/>
        <v>106.25</v>
      </c>
      <c r="CY67" s="19">
        <f t="shared" si="61"/>
        <v>2018.75</v>
      </c>
      <c r="DD67" s="95"/>
      <c r="DE67" s="94"/>
      <c r="DF67" s="94"/>
    </row>
    <row r="68" spans="2:110" ht="14.25" customHeight="1" x14ac:dyDescent="0.4">
      <c r="B68" s="3" t="s">
        <v>65</v>
      </c>
      <c r="C68" s="1" t="s">
        <v>29</v>
      </c>
      <c r="D68" s="3"/>
      <c r="E68" s="4" t="s">
        <v>188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8"/>
      <c r="S68" s="8"/>
      <c r="T68" s="19"/>
      <c r="U68" s="19"/>
      <c r="V68" s="20"/>
      <c r="W68" s="20"/>
      <c r="X68" s="19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44"/>
      <c r="AN68" s="44"/>
      <c r="AO68" s="21"/>
      <c r="AP68" s="21"/>
      <c r="AQ68" s="44"/>
      <c r="AR68" s="44"/>
      <c r="AS68" s="44"/>
      <c r="AT68" s="59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7"/>
      <c r="BG68" s="27"/>
      <c r="BH68" s="21"/>
      <c r="BI68" s="8"/>
      <c r="BJ68" s="8"/>
      <c r="BK68" s="19"/>
      <c r="BL68" s="19"/>
      <c r="BM68" s="20"/>
      <c r="BN68" s="20"/>
      <c r="BO68" s="19"/>
      <c r="BP68" s="54"/>
      <c r="BQ68" s="21"/>
      <c r="BR68" s="21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8"/>
      <c r="CF68" s="8"/>
      <c r="CG68" s="19"/>
      <c r="CH68" s="19"/>
      <c r="CI68" s="20"/>
      <c r="CJ68" s="20"/>
      <c r="CK68" s="19"/>
      <c r="CM68" s="27">
        <v>8</v>
      </c>
      <c r="CN68" s="27">
        <v>4</v>
      </c>
      <c r="CO68" s="27">
        <v>0</v>
      </c>
      <c r="CP68" s="27"/>
      <c r="CQ68" s="27"/>
      <c r="CR68" s="27"/>
      <c r="CS68" s="8">
        <f t="shared" si="58"/>
        <v>8</v>
      </c>
      <c r="CT68" s="8">
        <f t="shared" si="59"/>
        <v>4</v>
      </c>
      <c r="CU68" s="19">
        <f>IFERROR(INDEX(Settings!$F:$F, MATCH('PROJECT NAME NOV'!$B68 &amp; "-" &amp; 'PROJECT NAME NOV'!$C68, Settings!$H:$H,0)), "")</f>
        <v>106.25</v>
      </c>
      <c r="CV68" s="19">
        <f>IFERROR(INDEX(Settings!$G:$G, MATCH('PROJECT NAME NOV'!$B68 &amp; "-" &amp; 'PROJECT NAME NOV'!$C68, Settings!$H:$H, 0)), "")</f>
        <v>850</v>
      </c>
      <c r="CW68" s="19">
        <f t="shared" si="20"/>
        <v>1275</v>
      </c>
      <c r="CX68" s="20">
        <f t="shared" si="60"/>
        <v>63.75</v>
      </c>
      <c r="CY68" s="19">
        <f t="shared" si="61"/>
        <v>1211.25</v>
      </c>
      <c r="DD68" s="95"/>
      <c r="DE68" s="94"/>
      <c r="DF68" s="94"/>
    </row>
    <row r="69" spans="2:110" ht="14.25" customHeight="1" x14ac:dyDescent="0.4">
      <c r="B69" s="3" t="s">
        <v>65</v>
      </c>
      <c r="C69" s="1" t="s">
        <v>29</v>
      </c>
      <c r="D69" s="3"/>
      <c r="E69" s="4" t="s">
        <v>189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8"/>
      <c r="S69" s="8"/>
      <c r="T69" s="19"/>
      <c r="U69" s="19"/>
      <c r="V69" s="20"/>
      <c r="W69" s="20"/>
      <c r="X69" s="19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44"/>
      <c r="AN69" s="44"/>
      <c r="AO69" s="21"/>
      <c r="AP69" s="21"/>
      <c r="AQ69" s="44"/>
      <c r="AR69" s="44"/>
      <c r="AS69" s="44"/>
      <c r="AT69" s="59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7"/>
      <c r="BG69" s="27"/>
      <c r="BH69" s="21"/>
      <c r="BI69" s="8"/>
      <c r="BJ69" s="8"/>
      <c r="BK69" s="19"/>
      <c r="BL69" s="19"/>
      <c r="BM69" s="20"/>
      <c r="BN69" s="20"/>
      <c r="BO69" s="19"/>
      <c r="BP69" s="54"/>
      <c r="BQ69" s="21"/>
      <c r="BR69" s="21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8"/>
      <c r="CF69" s="8"/>
      <c r="CG69" s="19"/>
      <c r="CH69" s="19"/>
      <c r="CI69" s="20"/>
      <c r="CJ69" s="20"/>
      <c r="CK69" s="19"/>
      <c r="CM69" s="27">
        <v>8</v>
      </c>
      <c r="CN69" s="27">
        <v>4</v>
      </c>
      <c r="CO69" s="27">
        <v>8</v>
      </c>
      <c r="CP69" s="27"/>
      <c r="CQ69" s="27"/>
      <c r="CR69" s="27"/>
      <c r="CS69" s="8">
        <f t="shared" si="58"/>
        <v>16</v>
      </c>
      <c r="CT69" s="8">
        <f t="shared" si="59"/>
        <v>4</v>
      </c>
      <c r="CU69" s="19">
        <f>IFERROR(INDEX(Settings!$F:$F, MATCH('PROJECT NAME NOV'!$B69 &amp; "-" &amp; 'PROJECT NAME NOV'!$C69, Settings!$H:$H,0)), "")</f>
        <v>106.25</v>
      </c>
      <c r="CV69" s="19">
        <f>IFERROR(INDEX(Settings!$G:$G, MATCH('PROJECT NAME NOV'!$B69 &amp; "-" &amp; 'PROJECT NAME NOV'!$C69, Settings!$H:$H, 0)), "")</f>
        <v>850</v>
      </c>
      <c r="CW69" s="19">
        <f t="shared" si="20"/>
        <v>2125</v>
      </c>
      <c r="CX69" s="20">
        <f t="shared" si="60"/>
        <v>106.25</v>
      </c>
      <c r="CY69" s="19">
        <f t="shared" si="61"/>
        <v>2018.75</v>
      </c>
      <c r="DD69" s="95"/>
      <c r="DE69" s="94"/>
      <c r="DF69" s="94"/>
    </row>
    <row r="70" spans="2:110" ht="14.25" customHeight="1" x14ac:dyDescent="0.4">
      <c r="B70" s="3" t="s">
        <v>65</v>
      </c>
      <c r="C70" s="1" t="s">
        <v>29</v>
      </c>
      <c r="D70" s="3"/>
      <c r="E70" s="4" t="s">
        <v>190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8"/>
      <c r="S70" s="8"/>
      <c r="T70" s="19"/>
      <c r="U70" s="19"/>
      <c r="V70" s="20"/>
      <c r="W70" s="20"/>
      <c r="X70" s="19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44"/>
      <c r="AN70" s="44"/>
      <c r="AO70" s="21"/>
      <c r="AP70" s="21"/>
      <c r="AQ70" s="44"/>
      <c r="AR70" s="44"/>
      <c r="AS70" s="44"/>
      <c r="AT70" s="59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7"/>
      <c r="BG70" s="27"/>
      <c r="BH70" s="21"/>
      <c r="BI70" s="8"/>
      <c r="BJ70" s="8"/>
      <c r="BK70" s="19"/>
      <c r="BL70" s="19"/>
      <c r="BM70" s="20"/>
      <c r="BN70" s="20"/>
      <c r="BO70" s="19"/>
      <c r="BP70" s="54"/>
      <c r="BQ70" s="21"/>
      <c r="BR70" s="21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8"/>
      <c r="CF70" s="8"/>
      <c r="CG70" s="19"/>
      <c r="CH70" s="19"/>
      <c r="CI70" s="20"/>
      <c r="CJ70" s="20"/>
      <c r="CK70" s="19"/>
      <c r="CM70" s="27">
        <v>8</v>
      </c>
      <c r="CN70" s="27">
        <v>4</v>
      </c>
      <c r="CO70" s="27">
        <v>0</v>
      </c>
      <c r="CP70" s="27"/>
      <c r="CQ70" s="27"/>
      <c r="CR70" s="27"/>
      <c r="CS70" s="8">
        <f t="shared" si="58"/>
        <v>8</v>
      </c>
      <c r="CT70" s="8">
        <f t="shared" si="59"/>
        <v>4</v>
      </c>
      <c r="CU70" s="19">
        <f>IFERROR(INDEX(Settings!$F:$F, MATCH('PROJECT NAME NOV'!$B70 &amp; "-" &amp; 'PROJECT NAME NOV'!$C70, Settings!$H:$H,0)), "")</f>
        <v>106.25</v>
      </c>
      <c r="CV70" s="19">
        <f>IFERROR(INDEX(Settings!$G:$G, MATCH('PROJECT NAME NOV'!$B70 &amp; "-" &amp; 'PROJECT NAME NOV'!$C70, Settings!$H:$H, 0)), "")</f>
        <v>850</v>
      </c>
      <c r="CW70" s="19">
        <f t="shared" si="20"/>
        <v>1275</v>
      </c>
      <c r="CX70" s="20">
        <f t="shared" si="60"/>
        <v>63.75</v>
      </c>
      <c r="CY70" s="19">
        <f t="shared" si="61"/>
        <v>1211.25</v>
      </c>
      <c r="DD70" s="95"/>
      <c r="DE70" s="94"/>
      <c r="DF70" s="94"/>
    </row>
    <row r="71" spans="2:110" ht="14.25" customHeight="1" x14ac:dyDescent="0.4">
      <c r="B71" s="3" t="s">
        <v>65</v>
      </c>
      <c r="C71" s="1" t="s">
        <v>29</v>
      </c>
      <c r="D71" s="3"/>
      <c r="E71" s="4" t="s">
        <v>191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8"/>
      <c r="S71" s="8"/>
      <c r="T71" s="19"/>
      <c r="U71" s="19"/>
      <c r="V71" s="20"/>
      <c r="W71" s="20"/>
      <c r="X71" s="19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44"/>
      <c r="AN71" s="44"/>
      <c r="AO71" s="21"/>
      <c r="AP71" s="21"/>
      <c r="AQ71" s="44"/>
      <c r="AR71" s="44"/>
      <c r="AS71" s="44"/>
      <c r="AT71" s="59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7"/>
      <c r="BG71" s="27"/>
      <c r="BH71" s="21"/>
      <c r="BI71" s="8"/>
      <c r="BJ71" s="8"/>
      <c r="BK71" s="19"/>
      <c r="BL71" s="19"/>
      <c r="BM71" s="20"/>
      <c r="BN71" s="20"/>
      <c r="BO71" s="19"/>
      <c r="BP71" s="54"/>
      <c r="BQ71" s="21"/>
      <c r="BR71" s="21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8"/>
      <c r="CF71" s="8"/>
      <c r="CG71" s="19"/>
      <c r="CH71" s="19"/>
      <c r="CI71" s="20"/>
      <c r="CJ71" s="20"/>
      <c r="CK71" s="19"/>
      <c r="CM71" s="27">
        <v>8</v>
      </c>
      <c r="CN71" s="27">
        <v>4</v>
      </c>
      <c r="CO71" s="27">
        <v>8</v>
      </c>
      <c r="CP71" s="27"/>
      <c r="CQ71" s="27"/>
      <c r="CR71" s="27"/>
      <c r="CS71" s="8">
        <f t="shared" si="58"/>
        <v>16</v>
      </c>
      <c r="CT71" s="8">
        <f t="shared" si="59"/>
        <v>4</v>
      </c>
      <c r="CU71" s="19">
        <f>IFERROR(INDEX(Settings!$F:$F, MATCH('PROJECT NAME NOV'!$B71 &amp; "-" &amp; 'PROJECT NAME NOV'!$C71, Settings!$H:$H,0)), "")</f>
        <v>106.25</v>
      </c>
      <c r="CV71" s="19">
        <f>IFERROR(INDEX(Settings!$G:$G, MATCH('PROJECT NAME NOV'!$B71 &amp; "-" &amp; 'PROJECT NAME NOV'!$C71, Settings!$H:$H, 0)), "")</f>
        <v>850</v>
      </c>
      <c r="CW71" s="19">
        <f t="shared" si="20"/>
        <v>2125</v>
      </c>
      <c r="CX71" s="20">
        <f t="shared" si="60"/>
        <v>106.25</v>
      </c>
      <c r="CY71" s="19">
        <f t="shared" si="61"/>
        <v>2018.75</v>
      </c>
      <c r="DD71" s="95"/>
      <c r="DE71" s="94"/>
      <c r="DF71" s="94"/>
    </row>
    <row r="72" spans="2:110" ht="14.25" customHeight="1" x14ac:dyDescent="0.4">
      <c r="B72" s="3" t="s">
        <v>65</v>
      </c>
      <c r="C72" s="1" t="s">
        <v>29</v>
      </c>
      <c r="D72" s="3"/>
      <c r="E72" s="4" t="s">
        <v>192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8"/>
      <c r="S72" s="8"/>
      <c r="T72" s="19"/>
      <c r="U72" s="19"/>
      <c r="V72" s="20"/>
      <c r="W72" s="20"/>
      <c r="X72" s="19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44"/>
      <c r="AN72" s="44"/>
      <c r="AO72" s="21"/>
      <c r="AP72" s="21"/>
      <c r="AQ72" s="44"/>
      <c r="AR72" s="44"/>
      <c r="AS72" s="44"/>
      <c r="AT72" s="59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7"/>
      <c r="BG72" s="27"/>
      <c r="BH72" s="21"/>
      <c r="BI72" s="8"/>
      <c r="BJ72" s="8"/>
      <c r="BK72" s="19"/>
      <c r="BL72" s="19"/>
      <c r="BM72" s="20"/>
      <c r="BN72" s="20"/>
      <c r="BO72" s="19"/>
      <c r="BP72" s="54"/>
      <c r="BQ72" s="21"/>
      <c r="BR72" s="21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8"/>
      <c r="CF72" s="8"/>
      <c r="CG72" s="19"/>
      <c r="CH72" s="19"/>
      <c r="CI72" s="20"/>
      <c r="CJ72" s="20"/>
      <c r="CK72" s="19"/>
      <c r="CM72" s="27">
        <v>8</v>
      </c>
      <c r="CN72" s="27">
        <v>4</v>
      </c>
      <c r="CO72" s="27">
        <v>0</v>
      </c>
      <c r="CP72" s="27"/>
      <c r="CQ72" s="27"/>
      <c r="CR72" s="27"/>
      <c r="CS72" s="8">
        <f t="shared" si="58"/>
        <v>8</v>
      </c>
      <c r="CT72" s="8">
        <f t="shared" si="59"/>
        <v>4</v>
      </c>
      <c r="CU72" s="19">
        <f>IFERROR(INDEX(Settings!$F:$F, MATCH('PROJECT NAME NOV'!$B72 &amp; "-" &amp; 'PROJECT NAME NOV'!$C72, Settings!$H:$H,0)), "")</f>
        <v>106.25</v>
      </c>
      <c r="CV72" s="19">
        <f>IFERROR(INDEX(Settings!$G:$G, MATCH('PROJECT NAME NOV'!$B72 &amp; "-" &amp; 'PROJECT NAME NOV'!$C72, Settings!$H:$H, 0)), "")</f>
        <v>850</v>
      </c>
      <c r="CW72" s="19">
        <f t="shared" si="20"/>
        <v>1275</v>
      </c>
      <c r="CX72" s="20">
        <f t="shared" si="60"/>
        <v>63.75</v>
      </c>
      <c r="CY72" s="19">
        <f t="shared" si="61"/>
        <v>1211.25</v>
      </c>
      <c r="DD72" s="95"/>
      <c r="DE72" s="94"/>
      <c r="DF72" s="94"/>
    </row>
    <row r="73" spans="2:110" ht="14.25" customHeight="1" x14ac:dyDescent="0.4">
      <c r="B73" s="3" t="s">
        <v>65</v>
      </c>
      <c r="C73" s="1" t="s">
        <v>29</v>
      </c>
      <c r="D73" s="3"/>
      <c r="E73" s="4" t="s">
        <v>193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8"/>
      <c r="S73" s="8"/>
      <c r="T73" s="19"/>
      <c r="U73" s="19"/>
      <c r="V73" s="20"/>
      <c r="W73" s="20"/>
      <c r="X73" s="19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44"/>
      <c r="AN73" s="44"/>
      <c r="AO73" s="21"/>
      <c r="AP73" s="21"/>
      <c r="AQ73" s="44"/>
      <c r="AR73" s="44"/>
      <c r="AS73" s="44"/>
      <c r="AT73" s="59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7"/>
      <c r="BG73" s="27"/>
      <c r="BH73" s="21"/>
      <c r="BI73" s="8"/>
      <c r="BJ73" s="8"/>
      <c r="BK73" s="19"/>
      <c r="BL73" s="19"/>
      <c r="BM73" s="20"/>
      <c r="BN73" s="20"/>
      <c r="BO73" s="19"/>
      <c r="BP73" s="54"/>
      <c r="BQ73" s="21"/>
      <c r="BR73" s="21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8"/>
      <c r="CF73" s="8"/>
      <c r="CG73" s="19"/>
      <c r="CH73" s="19"/>
      <c r="CI73" s="20"/>
      <c r="CJ73" s="20"/>
      <c r="CK73" s="19"/>
      <c r="CM73" s="27">
        <v>8</v>
      </c>
      <c r="CN73" s="27">
        <v>4</v>
      </c>
      <c r="CO73" s="27">
        <v>8</v>
      </c>
      <c r="CP73" s="27"/>
      <c r="CQ73" s="27"/>
      <c r="CR73" s="27"/>
      <c r="CS73" s="8">
        <f t="shared" si="58"/>
        <v>16</v>
      </c>
      <c r="CT73" s="8">
        <f t="shared" si="59"/>
        <v>4</v>
      </c>
      <c r="CU73" s="19">
        <f>IFERROR(INDEX(Settings!$F:$F, MATCH('PROJECT NAME NOV'!$B73 &amp; "-" &amp; 'PROJECT NAME NOV'!$C73, Settings!$H:$H,0)), "")</f>
        <v>106.25</v>
      </c>
      <c r="CV73" s="19">
        <f>IFERROR(INDEX(Settings!$G:$G, MATCH('PROJECT NAME NOV'!$B73 &amp; "-" &amp; 'PROJECT NAME NOV'!$C73, Settings!$H:$H, 0)), "")</f>
        <v>850</v>
      </c>
      <c r="CW73" s="19">
        <f t="shared" ref="CW73:CW106" si="62">(CU73*CS73)+(CT73*CU73)</f>
        <v>2125</v>
      </c>
      <c r="CX73" s="20">
        <f t="shared" si="60"/>
        <v>106.25</v>
      </c>
      <c r="CY73" s="19">
        <f t="shared" si="61"/>
        <v>2018.75</v>
      </c>
      <c r="DD73" s="95"/>
      <c r="DE73" s="94"/>
      <c r="DF73" s="94"/>
    </row>
    <row r="74" spans="2:110" ht="14.25" customHeight="1" x14ac:dyDescent="0.4">
      <c r="B74" s="3" t="s">
        <v>65</v>
      </c>
      <c r="C74" s="1" t="s">
        <v>29</v>
      </c>
      <c r="D74" s="3"/>
      <c r="E74" s="4" t="s">
        <v>194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8"/>
      <c r="S74" s="8"/>
      <c r="T74" s="19"/>
      <c r="U74" s="19"/>
      <c r="V74" s="20"/>
      <c r="W74" s="20"/>
      <c r="X74" s="19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44"/>
      <c r="AN74" s="44"/>
      <c r="AO74" s="21"/>
      <c r="AP74" s="21"/>
      <c r="AQ74" s="44"/>
      <c r="AR74" s="44"/>
      <c r="AS74" s="44"/>
      <c r="AT74" s="59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7"/>
      <c r="BG74" s="27"/>
      <c r="BH74" s="21"/>
      <c r="BI74" s="8"/>
      <c r="BJ74" s="8"/>
      <c r="BK74" s="19"/>
      <c r="BL74" s="19"/>
      <c r="BM74" s="20"/>
      <c r="BN74" s="20"/>
      <c r="BO74" s="19"/>
      <c r="BP74" s="54"/>
      <c r="BQ74" s="21"/>
      <c r="BR74" s="21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8"/>
      <c r="CF74" s="8"/>
      <c r="CG74" s="19"/>
      <c r="CH74" s="19"/>
      <c r="CI74" s="20"/>
      <c r="CJ74" s="20"/>
      <c r="CK74" s="19"/>
      <c r="CM74" s="27">
        <v>8</v>
      </c>
      <c r="CN74" s="27">
        <v>4</v>
      </c>
      <c r="CO74" s="27">
        <v>0</v>
      </c>
      <c r="CP74" s="27"/>
      <c r="CQ74" s="27"/>
      <c r="CR74" s="27"/>
      <c r="CS74" s="8">
        <f t="shared" si="58"/>
        <v>8</v>
      </c>
      <c r="CT74" s="8">
        <f t="shared" si="59"/>
        <v>4</v>
      </c>
      <c r="CU74" s="19">
        <f>IFERROR(INDEX(Settings!$F:$F, MATCH('PROJECT NAME NOV'!$B74 &amp; "-" &amp; 'PROJECT NAME NOV'!$C74, Settings!$H:$H,0)), "")</f>
        <v>106.25</v>
      </c>
      <c r="CV74" s="19">
        <f>IFERROR(INDEX(Settings!$G:$G, MATCH('PROJECT NAME NOV'!$B74 &amp; "-" &amp; 'PROJECT NAME NOV'!$C74, Settings!$H:$H, 0)), "")</f>
        <v>850</v>
      </c>
      <c r="CW74" s="19">
        <f t="shared" si="62"/>
        <v>1275</v>
      </c>
      <c r="CX74" s="20">
        <f t="shared" si="60"/>
        <v>63.75</v>
      </c>
      <c r="CY74" s="19">
        <f t="shared" si="61"/>
        <v>1211.25</v>
      </c>
      <c r="DD74" s="95"/>
      <c r="DE74" s="94"/>
      <c r="DF74" s="94"/>
    </row>
    <row r="75" spans="2:110" ht="14.25" customHeight="1" x14ac:dyDescent="0.4">
      <c r="B75" s="3" t="s">
        <v>65</v>
      </c>
      <c r="C75" s="1" t="s">
        <v>29</v>
      </c>
      <c r="D75" s="3"/>
      <c r="E75" s="4" t="s">
        <v>195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8"/>
      <c r="S75" s="8"/>
      <c r="T75" s="19"/>
      <c r="U75" s="19"/>
      <c r="V75" s="20"/>
      <c r="W75" s="20"/>
      <c r="X75" s="19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44"/>
      <c r="AN75" s="44"/>
      <c r="AO75" s="21"/>
      <c r="AP75" s="21"/>
      <c r="AQ75" s="44"/>
      <c r="AR75" s="44"/>
      <c r="AS75" s="44"/>
      <c r="AT75" s="59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7"/>
      <c r="BG75" s="27"/>
      <c r="BH75" s="21"/>
      <c r="BI75" s="8"/>
      <c r="BJ75" s="8"/>
      <c r="BK75" s="19"/>
      <c r="BL75" s="19"/>
      <c r="BM75" s="20"/>
      <c r="BN75" s="20"/>
      <c r="BO75" s="19"/>
      <c r="BP75" s="54"/>
      <c r="BQ75" s="21"/>
      <c r="BR75" s="21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8"/>
      <c r="CF75" s="8"/>
      <c r="CG75" s="19"/>
      <c r="CH75" s="19"/>
      <c r="CI75" s="20"/>
      <c r="CJ75" s="20"/>
      <c r="CK75" s="19"/>
      <c r="CM75" s="27">
        <v>8</v>
      </c>
      <c r="CN75" s="27">
        <v>4</v>
      </c>
      <c r="CO75" s="27">
        <v>8</v>
      </c>
      <c r="CP75" s="27"/>
      <c r="CQ75" s="27"/>
      <c r="CR75" s="27"/>
      <c r="CS75" s="8">
        <f t="shared" si="58"/>
        <v>16</v>
      </c>
      <c r="CT75" s="8">
        <f t="shared" si="59"/>
        <v>4</v>
      </c>
      <c r="CU75" s="19">
        <f>IFERROR(INDEX(Settings!$F:$F, MATCH('PROJECT NAME NOV'!$B75 &amp; "-" &amp; 'PROJECT NAME NOV'!$C75, Settings!$H:$H,0)), "")</f>
        <v>106.25</v>
      </c>
      <c r="CV75" s="19">
        <f>IFERROR(INDEX(Settings!$G:$G, MATCH('PROJECT NAME NOV'!$B75 &amp; "-" &amp; 'PROJECT NAME NOV'!$C75, Settings!$H:$H, 0)), "")</f>
        <v>850</v>
      </c>
      <c r="CW75" s="19">
        <f t="shared" si="62"/>
        <v>2125</v>
      </c>
      <c r="CX75" s="20">
        <f t="shared" si="60"/>
        <v>106.25</v>
      </c>
      <c r="CY75" s="19">
        <f t="shared" si="61"/>
        <v>2018.75</v>
      </c>
      <c r="DD75" s="95"/>
      <c r="DE75" s="94"/>
      <c r="DF75" s="94"/>
    </row>
    <row r="76" spans="2:110" ht="14.25" customHeight="1" x14ac:dyDescent="0.4">
      <c r="B76" s="3" t="s">
        <v>65</v>
      </c>
      <c r="C76" s="1" t="s">
        <v>29</v>
      </c>
      <c r="D76" s="3"/>
      <c r="E76" s="4" t="s">
        <v>196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8"/>
      <c r="S76" s="8"/>
      <c r="T76" s="19"/>
      <c r="U76" s="19"/>
      <c r="V76" s="20"/>
      <c r="W76" s="20"/>
      <c r="X76" s="19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44"/>
      <c r="AN76" s="44"/>
      <c r="AO76" s="21"/>
      <c r="AP76" s="21"/>
      <c r="AQ76" s="44"/>
      <c r="AR76" s="44"/>
      <c r="AS76" s="44"/>
      <c r="AT76" s="59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7"/>
      <c r="BG76" s="27"/>
      <c r="BH76" s="21"/>
      <c r="BI76" s="8"/>
      <c r="BJ76" s="8"/>
      <c r="BK76" s="19"/>
      <c r="BL76" s="19"/>
      <c r="BM76" s="20"/>
      <c r="BN76" s="20"/>
      <c r="BO76" s="19"/>
      <c r="BP76" s="54"/>
      <c r="BQ76" s="21"/>
      <c r="BR76" s="21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8"/>
      <c r="CF76" s="8"/>
      <c r="CG76" s="19"/>
      <c r="CH76" s="19"/>
      <c r="CI76" s="20"/>
      <c r="CJ76" s="20"/>
      <c r="CK76" s="19"/>
      <c r="CM76" s="27">
        <v>8</v>
      </c>
      <c r="CN76" s="27">
        <v>4</v>
      </c>
      <c r="CO76" s="27">
        <v>8</v>
      </c>
      <c r="CP76" s="27"/>
      <c r="CQ76" s="27"/>
      <c r="CR76" s="27"/>
      <c r="CS76" s="8">
        <f t="shared" si="58"/>
        <v>16</v>
      </c>
      <c r="CT76" s="8">
        <f t="shared" si="59"/>
        <v>4</v>
      </c>
      <c r="CU76" s="19">
        <f>IFERROR(INDEX(Settings!$F:$F, MATCH('PROJECT NAME NOV'!$B76 &amp; "-" &amp; 'PROJECT NAME NOV'!$C76, Settings!$H:$H,0)), "")</f>
        <v>106.25</v>
      </c>
      <c r="CV76" s="19">
        <f>IFERROR(INDEX(Settings!$G:$G, MATCH('PROJECT NAME NOV'!$B76 &amp; "-" &amp; 'PROJECT NAME NOV'!$C76, Settings!$H:$H, 0)), "")</f>
        <v>850</v>
      </c>
      <c r="CW76" s="19">
        <f t="shared" si="62"/>
        <v>2125</v>
      </c>
      <c r="CX76" s="20">
        <f t="shared" si="60"/>
        <v>106.25</v>
      </c>
      <c r="CY76" s="19">
        <f t="shared" si="61"/>
        <v>2018.75</v>
      </c>
      <c r="DD76" s="95"/>
      <c r="DE76" s="94"/>
      <c r="DF76" s="94"/>
    </row>
    <row r="77" spans="2:110" ht="14.25" customHeight="1" x14ac:dyDescent="0.4">
      <c r="B77" s="3" t="s">
        <v>65</v>
      </c>
      <c r="C77" s="1" t="s">
        <v>29</v>
      </c>
      <c r="D77" s="3"/>
      <c r="E77" s="4" t="s">
        <v>198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8"/>
      <c r="S77" s="8"/>
      <c r="T77" s="19"/>
      <c r="U77" s="19"/>
      <c r="V77" s="20"/>
      <c r="W77" s="20"/>
      <c r="X77" s="19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44"/>
      <c r="AN77" s="44"/>
      <c r="AO77" s="21"/>
      <c r="AP77" s="21"/>
      <c r="AQ77" s="44"/>
      <c r="AR77" s="44"/>
      <c r="AS77" s="44"/>
      <c r="AT77" s="59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7"/>
      <c r="BG77" s="27"/>
      <c r="BH77" s="21"/>
      <c r="BI77" s="8"/>
      <c r="BJ77" s="8"/>
      <c r="BK77" s="19"/>
      <c r="BL77" s="19"/>
      <c r="BM77" s="20"/>
      <c r="BN77" s="20"/>
      <c r="BO77" s="19"/>
      <c r="BP77" s="54"/>
      <c r="BQ77" s="21"/>
      <c r="BR77" s="21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8"/>
      <c r="CF77" s="8"/>
      <c r="CG77" s="19"/>
      <c r="CH77" s="19"/>
      <c r="CI77" s="20"/>
      <c r="CJ77" s="20"/>
      <c r="CK77" s="19"/>
      <c r="CM77" s="27">
        <v>8</v>
      </c>
      <c r="CN77" s="27">
        <v>0</v>
      </c>
      <c r="CO77" s="27">
        <v>0</v>
      </c>
      <c r="CP77" s="27">
        <v>0</v>
      </c>
      <c r="CQ77" s="27"/>
      <c r="CR77" s="27">
        <v>0</v>
      </c>
      <c r="CS77" s="8">
        <f t="shared" si="58"/>
        <v>8</v>
      </c>
      <c r="CT77" s="8">
        <f t="shared" si="59"/>
        <v>0</v>
      </c>
      <c r="CU77" s="19">
        <f>IFERROR(INDEX(Settings!$F:$F, MATCH('PROJECT NAME NOV'!$B77 &amp; "-" &amp; 'PROJECT NAME NOV'!$C77, Settings!$H:$H,0)), "")</f>
        <v>106.25</v>
      </c>
      <c r="CV77" s="19">
        <f>IFERROR(INDEX(Settings!$G:$G, MATCH('PROJECT NAME NOV'!$B77 &amp; "-" &amp; 'PROJECT NAME NOV'!$C77, Settings!$H:$H, 0)), "")</f>
        <v>850</v>
      </c>
      <c r="CW77" s="19">
        <f t="shared" si="62"/>
        <v>850</v>
      </c>
      <c r="CX77" s="20">
        <f t="shared" si="60"/>
        <v>42.5</v>
      </c>
      <c r="CY77" s="19">
        <f t="shared" si="61"/>
        <v>807.5</v>
      </c>
      <c r="DD77" s="95"/>
      <c r="DE77" s="94"/>
      <c r="DF77" s="94"/>
    </row>
    <row r="78" spans="2:110" ht="14.25" customHeight="1" x14ac:dyDescent="0.4">
      <c r="B78" s="3" t="s">
        <v>65</v>
      </c>
      <c r="C78" s="1" t="s">
        <v>29</v>
      </c>
      <c r="D78" s="3"/>
      <c r="E78" s="4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8"/>
      <c r="S78" s="8"/>
      <c r="T78" s="19"/>
      <c r="U78" s="19"/>
      <c r="V78" s="20"/>
      <c r="W78" s="20"/>
      <c r="X78" s="19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44"/>
      <c r="AN78" s="44"/>
      <c r="AO78" s="21"/>
      <c r="AP78" s="21"/>
      <c r="AQ78" s="44"/>
      <c r="AR78" s="44"/>
      <c r="AS78" s="44"/>
      <c r="AT78" s="59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7"/>
      <c r="BG78" s="27"/>
      <c r="BH78" s="21"/>
      <c r="BI78" s="8"/>
      <c r="BJ78" s="8"/>
      <c r="BK78" s="19"/>
      <c r="BL78" s="19"/>
      <c r="BM78" s="20"/>
      <c r="BN78" s="20"/>
      <c r="BO78" s="19"/>
      <c r="BP78" s="54"/>
      <c r="BQ78" s="21"/>
      <c r="BR78" s="21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8"/>
      <c r="CF78" s="8"/>
      <c r="CG78" s="19"/>
      <c r="CH78" s="19"/>
      <c r="CI78" s="20"/>
      <c r="CJ78" s="20"/>
      <c r="CK78" s="19"/>
      <c r="CM78" s="27"/>
      <c r="CN78" s="27"/>
      <c r="CO78" s="27"/>
      <c r="CP78" s="27"/>
      <c r="CQ78" s="27"/>
      <c r="CR78" s="27"/>
      <c r="CS78" s="8">
        <f t="shared" si="58"/>
        <v>0</v>
      </c>
      <c r="CT78" s="8">
        <f t="shared" si="59"/>
        <v>0</v>
      </c>
      <c r="CU78" s="19">
        <f>IFERROR(INDEX(Settings!$F:$F, MATCH('PROJECT NAME NOV'!$B78 &amp; "-" &amp; 'PROJECT NAME NOV'!$C78, Settings!$H:$H,0)), "")</f>
        <v>106.25</v>
      </c>
      <c r="CV78" s="19">
        <f>IFERROR(INDEX(Settings!$G:$G, MATCH('PROJECT NAME NOV'!$B78 &amp; "-" &amp; 'PROJECT NAME NOV'!$C78, Settings!$H:$H, 0)), "")</f>
        <v>850</v>
      </c>
      <c r="CW78" s="19">
        <f t="shared" si="62"/>
        <v>0</v>
      </c>
      <c r="CX78" s="20">
        <f t="shared" si="60"/>
        <v>0</v>
      </c>
      <c r="CY78" s="19">
        <f t="shared" si="61"/>
        <v>0</v>
      </c>
      <c r="DD78" s="95"/>
      <c r="DE78" s="94"/>
      <c r="DF78" s="94"/>
    </row>
    <row r="79" spans="2:110" ht="14.25" customHeight="1" x14ac:dyDescent="0.4">
      <c r="B79" s="3" t="s">
        <v>65</v>
      </c>
      <c r="C79" s="1" t="s">
        <v>29</v>
      </c>
      <c r="D79" s="3"/>
      <c r="E79" s="4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8"/>
      <c r="S79" s="8"/>
      <c r="T79" s="19"/>
      <c r="U79" s="19"/>
      <c r="V79" s="20"/>
      <c r="W79" s="20"/>
      <c r="X79" s="19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44"/>
      <c r="AN79" s="44"/>
      <c r="AO79" s="21"/>
      <c r="AP79" s="21"/>
      <c r="AQ79" s="44"/>
      <c r="AR79" s="44"/>
      <c r="AS79" s="44"/>
      <c r="AT79" s="59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7"/>
      <c r="BG79" s="27"/>
      <c r="BH79" s="21"/>
      <c r="BI79" s="8"/>
      <c r="BJ79" s="8"/>
      <c r="BK79" s="19"/>
      <c r="BL79" s="19"/>
      <c r="BM79" s="20"/>
      <c r="BN79" s="20"/>
      <c r="BO79" s="19"/>
      <c r="BP79" s="54"/>
      <c r="BQ79" s="21"/>
      <c r="BR79" s="21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8"/>
      <c r="CF79" s="8"/>
      <c r="CG79" s="19"/>
      <c r="CH79" s="19"/>
      <c r="CI79" s="20"/>
      <c r="CJ79" s="20"/>
      <c r="CK79" s="19"/>
      <c r="CM79" s="27"/>
      <c r="CN79" s="27"/>
      <c r="CO79" s="27"/>
      <c r="CP79" s="27"/>
      <c r="CQ79" s="27"/>
      <c r="CR79" s="27"/>
      <c r="CS79" s="8">
        <f t="shared" si="58"/>
        <v>0</v>
      </c>
      <c r="CT79" s="8">
        <f t="shared" si="59"/>
        <v>0</v>
      </c>
      <c r="CU79" s="19">
        <f>IFERROR(INDEX(Settings!$F:$F, MATCH('PROJECT NAME NOV'!$B79 &amp; "-" &amp; 'PROJECT NAME NOV'!$C79, Settings!$H:$H,0)), "")</f>
        <v>106.25</v>
      </c>
      <c r="CV79" s="19">
        <f>IFERROR(INDEX(Settings!$G:$G, MATCH('PROJECT NAME NOV'!$B79 &amp; "-" &amp; 'PROJECT NAME NOV'!$C79, Settings!$H:$H, 0)), "")</f>
        <v>850</v>
      </c>
      <c r="CW79" s="19">
        <f t="shared" si="62"/>
        <v>0</v>
      </c>
      <c r="CX79" s="20">
        <f t="shared" si="60"/>
        <v>0</v>
      </c>
      <c r="CY79" s="19">
        <f t="shared" si="61"/>
        <v>0</v>
      </c>
      <c r="DD79" s="95"/>
      <c r="DE79" s="94"/>
      <c r="DF79" s="94"/>
    </row>
    <row r="80" spans="2:110" ht="14.25" customHeight="1" x14ac:dyDescent="0.4">
      <c r="B80" s="3" t="s">
        <v>65</v>
      </c>
      <c r="C80" s="1" t="s">
        <v>29</v>
      </c>
      <c r="D80" s="3"/>
      <c r="E80" s="4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8"/>
      <c r="S80" s="8"/>
      <c r="T80" s="19"/>
      <c r="U80" s="19"/>
      <c r="V80" s="20"/>
      <c r="W80" s="20"/>
      <c r="X80" s="19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44"/>
      <c r="AN80" s="44"/>
      <c r="AO80" s="21"/>
      <c r="AP80" s="21"/>
      <c r="AQ80" s="44"/>
      <c r="AR80" s="44"/>
      <c r="AS80" s="44"/>
      <c r="AT80" s="59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7"/>
      <c r="BG80" s="27"/>
      <c r="BH80" s="21"/>
      <c r="BI80" s="8"/>
      <c r="BJ80" s="8"/>
      <c r="BK80" s="19"/>
      <c r="BL80" s="19"/>
      <c r="BM80" s="20"/>
      <c r="BN80" s="20"/>
      <c r="BO80" s="19"/>
      <c r="BP80" s="54"/>
      <c r="BQ80" s="21"/>
      <c r="BR80" s="21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8"/>
      <c r="CF80" s="8"/>
      <c r="CG80" s="19"/>
      <c r="CH80" s="19"/>
      <c r="CI80" s="20"/>
      <c r="CJ80" s="20"/>
      <c r="CK80" s="19"/>
      <c r="CM80" s="27"/>
      <c r="CN80" s="27"/>
      <c r="CO80" s="27"/>
      <c r="CP80" s="27"/>
      <c r="CQ80" s="27"/>
      <c r="CR80" s="27"/>
      <c r="CS80" s="8">
        <f t="shared" si="58"/>
        <v>0</v>
      </c>
      <c r="CT80" s="8">
        <f t="shared" si="59"/>
        <v>0</v>
      </c>
      <c r="CU80" s="19">
        <f>IFERROR(INDEX(Settings!$F:$F, MATCH('PROJECT NAME NOV'!$B80 &amp; "-" &amp; 'PROJECT NAME NOV'!$C80, Settings!$H:$H,0)), "")</f>
        <v>106.25</v>
      </c>
      <c r="CV80" s="19">
        <f>IFERROR(INDEX(Settings!$G:$G, MATCH('PROJECT NAME NOV'!$B80 &amp; "-" &amp; 'PROJECT NAME NOV'!$C80, Settings!$H:$H, 0)), "")</f>
        <v>850</v>
      </c>
      <c r="CW80" s="19">
        <f t="shared" si="62"/>
        <v>0</v>
      </c>
      <c r="CX80" s="20">
        <f t="shared" si="60"/>
        <v>0</v>
      </c>
      <c r="CY80" s="19">
        <f t="shared" si="61"/>
        <v>0</v>
      </c>
      <c r="DD80" s="95"/>
      <c r="DE80" s="94"/>
      <c r="DF80" s="94"/>
    </row>
    <row r="81" spans="1:110" ht="14.25" customHeight="1" x14ac:dyDescent="0.4">
      <c r="A81" s="173"/>
      <c r="B81" s="174"/>
      <c r="C81" s="175"/>
      <c r="D81" s="174"/>
      <c r="E81" s="175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7"/>
      <c r="S81" s="177"/>
      <c r="T81" s="178"/>
      <c r="U81" s="178"/>
      <c r="V81" s="179"/>
      <c r="W81" s="179"/>
      <c r="X81" s="178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80"/>
      <c r="AN81" s="180"/>
      <c r="AO81" s="176"/>
      <c r="AP81" s="176"/>
      <c r="AQ81" s="180"/>
      <c r="AR81" s="180"/>
      <c r="AS81" s="180"/>
      <c r="AT81" s="180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81"/>
      <c r="BG81" s="181"/>
      <c r="BH81" s="176"/>
      <c r="BI81" s="177"/>
      <c r="BJ81" s="177"/>
      <c r="BK81" s="178"/>
      <c r="BL81" s="178"/>
      <c r="BM81" s="179"/>
      <c r="BN81" s="179"/>
      <c r="BO81" s="178"/>
      <c r="BP81" s="178"/>
      <c r="BQ81" s="176"/>
      <c r="BR81" s="176"/>
      <c r="BS81" s="181"/>
      <c r="BT81" s="181"/>
      <c r="BU81" s="181"/>
      <c r="BV81" s="181"/>
      <c r="BW81" s="181"/>
      <c r="BX81" s="181"/>
      <c r="BY81" s="181"/>
      <c r="BZ81" s="181"/>
      <c r="CA81" s="181"/>
      <c r="CB81" s="181"/>
      <c r="CC81" s="181"/>
      <c r="CD81" s="181"/>
      <c r="CE81" s="177"/>
      <c r="CF81" s="177"/>
      <c r="CG81" s="178"/>
      <c r="CH81" s="178"/>
      <c r="CI81" s="179"/>
      <c r="CJ81" s="179"/>
      <c r="CK81" s="178"/>
      <c r="CL81" s="173"/>
      <c r="CM81" s="181"/>
      <c r="CN81" s="181"/>
      <c r="CO81" s="181"/>
      <c r="CP81" s="181"/>
      <c r="CQ81" s="181"/>
      <c r="CR81" s="181"/>
      <c r="CS81" s="177"/>
      <c r="CT81" s="177"/>
      <c r="CU81" s="178"/>
      <c r="CV81" s="178"/>
      <c r="CW81" s="178"/>
      <c r="CX81" s="179"/>
      <c r="CY81" s="178"/>
      <c r="DD81" s="95"/>
      <c r="DE81" s="94"/>
      <c r="DF81" s="94"/>
    </row>
    <row r="82" spans="1:110" x14ac:dyDescent="0.3">
      <c r="B82" s="3" t="s">
        <v>83</v>
      </c>
      <c r="C82" s="1" t="s">
        <v>28</v>
      </c>
      <c r="D82" s="3"/>
      <c r="E82" s="4" t="s">
        <v>83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8">
        <f t="shared" ref="R82:R106" si="63">SUM(F82,H82,J82,L82,N82,P82)</f>
        <v>0</v>
      </c>
      <c r="S82" s="8">
        <f t="shared" ref="S82:S106" si="64">SUM(G82,I82,K82,M82,O82,Q82)</f>
        <v>0</v>
      </c>
      <c r="T82" s="19">
        <f>IFERROR(INDEX(Settings!$F:$F, MATCH('PROJECT NAME NOV'!$B82 &amp; "-" &amp; 'PROJECT NAME NOV'!$C82, Settings!$H:$H,0)), "")</f>
        <v>112.5</v>
      </c>
      <c r="U82" s="19">
        <f>IFERROR(INDEX(Settings!$G:$G, MATCH('PROJECT NAME NOV'!$B82 &amp; "-" &amp; 'PROJECT NAME NOV'!$C82, Settings!$H:$H, 0)), "")</f>
        <v>900</v>
      </c>
      <c r="V82" s="20">
        <f t="shared" si="25"/>
        <v>0</v>
      </c>
      <c r="W82" s="20">
        <f t="shared" si="22"/>
        <v>0</v>
      </c>
      <c r="X82" s="19">
        <f t="shared" si="8"/>
        <v>0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44">
        <f>IFERROR(INDEX(Settings!$F:$F, MATCH('PROJECT NAME NOV'!$B82 &amp; "-" &amp; 'PROJECT NAME NOV'!$C82, Settings!$H:$H,0)), "")</f>
        <v>112.5</v>
      </c>
      <c r="AN82" s="44">
        <f>IFERROR(INDEX(Settings!$G:$G, MATCH('PROJECT NAME NOV'!$B82 &amp; "-" &amp; 'PROJECT NAME NOV'!$C82, Settings!$H:$H, 0)), "")</f>
        <v>900</v>
      </c>
      <c r="AO82" s="21">
        <f t="shared" si="9"/>
        <v>0</v>
      </c>
      <c r="AP82" s="21">
        <f t="shared" si="10"/>
        <v>0</v>
      </c>
      <c r="AQ82" s="44">
        <f t="shared" si="11"/>
        <v>0</v>
      </c>
      <c r="AR82" s="44">
        <f t="shared" si="12"/>
        <v>0</v>
      </c>
      <c r="AS82" s="44">
        <f t="shared" si="13"/>
        <v>0</v>
      </c>
      <c r="AT82" s="59"/>
      <c r="AU82" s="21">
        <v>8</v>
      </c>
      <c r="AV82" s="21">
        <v>0</v>
      </c>
      <c r="AW82" s="21">
        <v>8</v>
      </c>
      <c r="AX82" s="21">
        <v>0</v>
      </c>
      <c r="AY82" s="21">
        <v>8</v>
      </c>
      <c r="AZ82" s="21">
        <v>0</v>
      </c>
      <c r="BA82" s="21">
        <v>8</v>
      </c>
      <c r="BB82" s="27">
        <v>3</v>
      </c>
      <c r="BC82" s="27">
        <v>8</v>
      </c>
      <c r="BD82" s="21">
        <v>2</v>
      </c>
      <c r="BE82" s="21">
        <v>8</v>
      </c>
      <c r="BF82" s="27">
        <v>0</v>
      </c>
      <c r="BG82" s="27">
        <v>8</v>
      </c>
      <c r="BH82" s="21">
        <v>2</v>
      </c>
      <c r="BI82" s="8">
        <f t="shared" si="14"/>
        <v>56</v>
      </c>
      <c r="BJ82" s="8">
        <f t="shared" si="15"/>
        <v>7</v>
      </c>
      <c r="BK82" s="19">
        <f>IFERROR(INDEX(Settings!$F:$F, MATCH('PROJECT NAME NOV'!$B82 &amp; "-" &amp; 'PROJECT NAME NOV'!$C82, Settings!$H:$H,0)), "")</f>
        <v>112.5</v>
      </c>
      <c r="BL82" s="19">
        <f>IFERROR(INDEX(Settings!$G:$G, MATCH('PROJECT NAME NOV'!$B82 &amp; "-" &amp; 'PROJECT NAME NOV'!$C82, Settings!$H:$H, 0)), "")</f>
        <v>900</v>
      </c>
      <c r="BM82" s="20">
        <f t="shared" si="26"/>
        <v>7481.25</v>
      </c>
      <c r="BN82" s="20">
        <f t="shared" si="23"/>
        <v>374.0625</v>
      </c>
      <c r="BO82" s="19">
        <f t="shared" si="16"/>
        <v>7107.1875</v>
      </c>
      <c r="BP82" s="54"/>
      <c r="BQ82" s="21">
        <v>8</v>
      </c>
      <c r="BR82" s="21">
        <v>4</v>
      </c>
      <c r="BS82" s="27">
        <v>8</v>
      </c>
      <c r="BT82" s="27">
        <v>4</v>
      </c>
      <c r="BU82" s="27">
        <v>8</v>
      </c>
      <c r="BV82" s="27">
        <v>0</v>
      </c>
      <c r="BW82" s="27">
        <v>8</v>
      </c>
      <c r="BX82" s="27">
        <v>4</v>
      </c>
      <c r="BY82" s="27">
        <v>8</v>
      </c>
      <c r="BZ82" s="27">
        <v>4</v>
      </c>
      <c r="CA82" s="27">
        <v>8</v>
      </c>
      <c r="CB82" s="27"/>
      <c r="CC82" s="27"/>
      <c r="CD82" s="27"/>
      <c r="CE82" s="8">
        <f t="shared" si="17"/>
        <v>48</v>
      </c>
      <c r="CF82" s="8">
        <f t="shared" si="18"/>
        <v>16</v>
      </c>
      <c r="CG82" s="19">
        <f>IFERROR(INDEX(Settings!$F:$F, MATCH('PROJECT NAME NOV'!$B82 &amp; "-" &amp; 'PROJECT NAME NOV'!$C82, Settings!$H:$H,0)), "")</f>
        <v>112.5</v>
      </c>
      <c r="CH82" s="19">
        <f>IFERROR(INDEX(Settings!$G:$G, MATCH('PROJECT NAME NOV'!$B82 &amp; "-" &amp; 'PROJECT NAME NOV'!$C82, Settings!$H:$H, 0)), "")</f>
        <v>900</v>
      </c>
      <c r="CI82" s="20">
        <f t="shared" si="27"/>
        <v>8100</v>
      </c>
      <c r="CJ82" s="20">
        <f t="shared" si="24"/>
        <v>405</v>
      </c>
      <c r="CK82" s="19">
        <f t="shared" si="19"/>
        <v>7695</v>
      </c>
      <c r="CM82" s="27"/>
      <c r="CN82" s="27"/>
      <c r="CO82" s="27"/>
      <c r="CP82" s="27"/>
      <c r="CQ82" s="27"/>
      <c r="CR82" s="27"/>
      <c r="CS82" s="8">
        <f t="shared" si="43"/>
        <v>0</v>
      </c>
      <c r="CT82" s="8">
        <f t="shared" ref="CT82:CT95" si="65">SUM(CN82,CP82,CR82)</f>
        <v>0</v>
      </c>
      <c r="CU82" s="19">
        <f>IFERROR(INDEX(Settings!$F:$F, MATCH('PROJECT NAME NOV'!$B82 &amp; "-" &amp; 'PROJECT NAME NOV'!$C82, Settings!$H:$H,0)), "")</f>
        <v>112.5</v>
      </c>
      <c r="CV82" s="19">
        <f>IFERROR(INDEX(Settings!$G:$G, MATCH('PROJECT NAME NOV'!$B82 &amp; "-" &amp; 'PROJECT NAME NOV'!$C82, Settings!$H:$H, 0)), "")</f>
        <v>900</v>
      </c>
      <c r="CW82" s="19">
        <f t="shared" si="62"/>
        <v>0</v>
      </c>
      <c r="CX82" s="20">
        <f t="shared" si="21"/>
        <v>0</v>
      </c>
      <c r="CY82" s="19">
        <f t="shared" si="45"/>
        <v>0</v>
      </c>
    </row>
    <row r="83" spans="1:110" x14ac:dyDescent="0.3">
      <c r="B83" s="3" t="s">
        <v>83</v>
      </c>
      <c r="C83" s="1" t="s">
        <v>28</v>
      </c>
      <c r="D83" s="3"/>
      <c r="E83" s="4" t="s">
        <v>84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8">
        <f t="shared" si="63"/>
        <v>0</v>
      </c>
      <c r="S83" s="8">
        <f t="shared" si="64"/>
        <v>0</v>
      </c>
      <c r="T83" s="19">
        <f>IFERROR(INDEX(Settings!$F:$F, MATCH('PROJECT NAME NOV'!$B83 &amp; "-" &amp; 'PROJECT NAME NOV'!$C83, Settings!$H:$H,0)), "")</f>
        <v>112.5</v>
      </c>
      <c r="U83" s="19">
        <f>IFERROR(INDEX(Settings!$G:$G, MATCH('PROJECT NAME NOV'!$B83 &amp; "-" &amp; 'PROJECT NAME NOV'!$C83, Settings!$H:$H, 0)), "")</f>
        <v>900</v>
      </c>
      <c r="V83" s="20">
        <f t="shared" si="25"/>
        <v>0</v>
      </c>
      <c r="W83" s="20">
        <f t="shared" si="22"/>
        <v>0</v>
      </c>
      <c r="X83" s="19">
        <f t="shared" si="8"/>
        <v>0</v>
      </c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44">
        <f>IFERROR(INDEX(Settings!$F:$F, MATCH('PROJECT NAME NOV'!$B83 &amp; "-" &amp; 'PROJECT NAME NOV'!$C83, Settings!$H:$H,0)), "")</f>
        <v>112.5</v>
      </c>
      <c r="AN83" s="44">
        <f>IFERROR(INDEX(Settings!$G:$G, MATCH('PROJECT NAME NOV'!$B83 &amp; "-" &amp; 'PROJECT NAME NOV'!$C83, Settings!$H:$H, 0)), "")</f>
        <v>900</v>
      </c>
      <c r="AO83" s="21">
        <f t="shared" si="9"/>
        <v>0</v>
      </c>
      <c r="AP83" s="21">
        <f t="shared" si="10"/>
        <v>0</v>
      </c>
      <c r="AQ83" s="44">
        <f t="shared" si="11"/>
        <v>0</v>
      </c>
      <c r="AR83" s="44">
        <f t="shared" si="12"/>
        <v>0</v>
      </c>
      <c r="AS83" s="44">
        <f t="shared" si="13"/>
        <v>0</v>
      </c>
      <c r="AT83" s="59"/>
      <c r="AU83" s="21">
        <v>8</v>
      </c>
      <c r="AV83" s="21">
        <v>0</v>
      </c>
      <c r="AW83" s="21">
        <v>8</v>
      </c>
      <c r="AX83" s="21">
        <v>0</v>
      </c>
      <c r="AY83" s="21">
        <v>8</v>
      </c>
      <c r="AZ83" s="21">
        <v>0</v>
      </c>
      <c r="BA83" s="21">
        <v>8</v>
      </c>
      <c r="BB83" s="27">
        <v>3</v>
      </c>
      <c r="BC83" s="27">
        <v>8</v>
      </c>
      <c r="BD83" s="21">
        <v>2</v>
      </c>
      <c r="BE83" s="21">
        <v>8</v>
      </c>
      <c r="BF83" s="27">
        <v>0</v>
      </c>
      <c r="BG83" s="27">
        <v>8</v>
      </c>
      <c r="BH83" s="21">
        <v>2</v>
      </c>
      <c r="BI83" s="8">
        <f t="shared" si="14"/>
        <v>56</v>
      </c>
      <c r="BJ83" s="8">
        <f t="shared" si="15"/>
        <v>7</v>
      </c>
      <c r="BK83" s="19">
        <f>IFERROR(INDEX(Settings!$F:$F, MATCH('PROJECT NAME NOV'!$B83 &amp; "-" &amp; 'PROJECT NAME NOV'!$C83, Settings!$H:$H,0)), "")</f>
        <v>112.5</v>
      </c>
      <c r="BL83" s="19">
        <f>IFERROR(INDEX(Settings!$G:$G, MATCH('PROJECT NAME NOV'!$B83 &amp; "-" &amp; 'PROJECT NAME NOV'!$C83, Settings!$H:$H, 0)), "")</f>
        <v>900</v>
      </c>
      <c r="BM83" s="20">
        <f t="shared" si="26"/>
        <v>7481.25</v>
      </c>
      <c r="BN83" s="20">
        <f t="shared" si="23"/>
        <v>374.0625</v>
      </c>
      <c r="BO83" s="19">
        <f t="shared" si="16"/>
        <v>7107.1875</v>
      </c>
      <c r="BP83" s="54"/>
      <c r="BQ83" s="21">
        <v>8</v>
      </c>
      <c r="BR83" s="21">
        <v>4</v>
      </c>
      <c r="BS83" s="27">
        <v>8</v>
      </c>
      <c r="BT83" s="27">
        <v>4</v>
      </c>
      <c r="BU83" s="27">
        <v>8</v>
      </c>
      <c r="BV83" s="27">
        <v>0</v>
      </c>
      <c r="BW83" s="27">
        <v>8</v>
      </c>
      <c r="BX83" s="27">
        <v>4</v>
      </c>
      <c r="BY83" s="27">
        <v>8</v>
      </c>
      <c r="BZ83" s="27">
        <v>4</v>
      </c>
      <c r="CA83" s="27">
        <v>8</v>
      </c>
      <c r="CB83" s="27"/>
      <c r="CC83" s="27"/>
      <c r="CD83" s="27"/>
      <c r="CE83" s="8">
        <f t="shared" si="17"/>
        <v>48</v>
      </c>
      <c r="CF83" s="8">
        <f t="shared" si="18"/>
        <v>16</v>
      </c>
      <c r="CG83" s="19">
        <f>IFERROR(INDEX(Settings!$F:$F, MATCH('PROJECT NAME NOV'!$B83 &amp; "-" &amp; 'PROJECT NAME NOV'!$C83, Settings!$H:$H,0)), "")</f>
        <v>112.5</v>
      </c>
      <c r="CH83" s="19">
        <f>IFERROR(INDEX(Settings!$G:$G, MATCH('PROJECT NAME NOV'!$B83 &amp; "-" &amp; 'PROJECT NAME NOV'!$C83, Settings!$H:$H, 0)), "")</f>
        <v>900</v>
      </c>
      <c r="CI83" s="20">
        <f t="shared" si="27"/>
        <v>8100</v>
      </c>
      <c r="CJ83" s="20">
        <f t="shared" si="24"/>
        <v>405</v>
      </c>
      <c r="CK83" s="19">
        <f t="shared" si="19"/>
        <v>7695</v>
      </c>
      <c r="CM83" s="27"/>
      <c r="CN83" s="27"/>
      <c r="CO83" s="27"/>
      <c r="CP83" s="27"/>
      <c r="CQ83" s="27"/>
      <c r="CR83" s="27"/>
      <c r="CS83" s="8">
        <f t="shared" si="43"/>
        <v>0</v>
      </c>
      <c r="CT83" s="8">
        <f t="shared" si="65"/>
        <v>0</v>
      </c>
      <c r="CU83" s="19">
        <f>IFERROR(INDEX(Settings!$F:$F, MATCH('PROJECT NAME NOV'!$B83 &amp; "-" &amp; 'PROJECT NAME NOV'!$C83, Settings!$H:$H,0)), "")</f>
        <v>112.5</v>
      </c>
      <c r="CV83" s="19">
        <f>IFERROR(INDEX(Settings!$G:$G, MATCH('PROJECT NAME NOV'!$B83 &amp; "-" &amp; 'PROJECT NAME NOV'!$C83, Settings!$H:$H, 0)), "")</f>
        <v>900</v>
      </c>
      <c r="CW83" s="19">
        <f t="shared" si="62"/>
        <v>0</v>
      </c>
      <c r="CX83" s="20">
        <f t="shared" si="21"/>
        <v>0</v>
      </c>
      <c r="CY83" s="19">
        <f t="shared" si="45"/>
        <v>0</v>
      </c>
    </row>
    <row r="84" spans="1:110" x14ac:dyDescent="0.3">
      <c r="B84" s="3" t="s">
        <v>83</v>
      </c>
      <c r="C84" s="1" t="s">
        <v>28</v>
      </c>
      <c r="D84" s="3"/>
      <c r="E84" s="4" t="s">
        <v>85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8">
        <f t="shared" si="63"/>
        <v>0</v>
      </c>
      <c r="S84" s="8">
        <f t="shared" si="64"/>
        <v>0</v>
      </c>
      <c r="T84" s="19">
        <f>IFERROR(INDEX(Settings!$F:$F, MATCH('PROJECT NAME NOV'!$B84 &amp; "-" &amp; 'PROJECT NAME NOV'!$C84, Settings!$H:$H,0)), "")</f>
        <v>112.5</v>
      </c>
      <c r="U84" s="19">
        <f>IFERROR(INDEX(Settings!$G:$G, MATCH('PROJECT NAME NOV'!$B84 &amp; "-" &amp; 'PROJECT NAME NOV'!$C84, Settings!$H:$H, 0)), "")</f>
        <v>900</v>
      </c>
      <c r="V84" s="20">
        <f t="shared" si="25"/>
        <v>0</v>
      </c>
      <c r="W84" s="20">
        <f t="shared" si="22"/>
        <v>0</v>
      </c>
      <c r="X84" s="19">
        <f t="shared" si="8"/>
        <v>0</v>
      </c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44">
        <f>IFERROR(INDEX(Settings!$F:$F, MATCH('PROJECT NAME NOV'!$B84 &amp; "-" &amp; 'PROJECT NAME NOV'!$C84, Settings!$H:$H,0)), "")</f>
        <v>112.5</v>
      </c>
      <c r="AN84" s="44">
        <f>IFERROR(INDEX(Settings!$G:$G, MATCH('PROJECT NAME NOV'!$B84 &amp; "-" &amp; 'PROJECT NAME NOV'!$C84, Settings!$H:$H, 0)), "")</f>
        <v>900</v>
      </c>
      <c r="AO84" s="21">
        <f t="shared" si="9"/>
        <v>0</v>
      </c>
      <c r="AP84" s="21">
        <f t="shared" si="10"/>
        <v>0</v>
      </c>
      <c r="AQ84" s="44">
        <f t="shared" si="11"/>
        <v>0</v>
      </c>
      <c r="AR84" s="44">
        <f t="shared" si="12"/>
        <v>0</v>
      </c>
      <c r="AS84" s="44">
        <f t="shared" si="13"/>
        <v>0</v>
      </c>
      <c r="AT84" s="59"/>
      <c r="AU84" s="21">
        <v>8</v>
      </c>
      <c r="AV84" s="21">
        <v>0</v>
      </c>
      <c r="AW84" s="21">
        <v>8</v>
      </c>
      <c r="AX84" s="21">
        <v>0</v>
      </c>
      <c r="AY84" s="21">
        <v>8</v>
      </c>
      <c r="AZ84" s="21">
        <v>0</v>
      </c>
      <c r="BA84" s="21">
        <v>8</v>
      </c>
      <c r="BB84" s="27">
        <v>3</v>
      </c>
      <c r="BC84" s="27">
        <v>8</v>
      </c>
      <c r="BD84" s="21">
        <v>2</v>
      </c>
      <c r="BE84" s="21">
        <v>8</v>
      </c>
      <c r="BF84" s="27">
        <v>0</v>
      </c>
      <c r="BG84" s="27">
        <v>8</v>
      </c>
      <c r="BH84" s="21">
        <v>2</v>
      </c>
      <c r="BI84" s="8">
        <f t="shared" si="14"/>
        <v>56</v>
      </c>
      <c r="BJ84" s="8">
        <f t="shared" si="15"/>
        <v>7</v>
      </c>
      <c r="BK84" s="19">
        <f>IFERROR(INDEX(Settings!$F:$F, MATCH('PROJECT NAME NOV'!$B84 &amp; "-" &amp; 'PROJECT NAME NOV'!$C84, Settings!$H:$H,0)), "")</f>
        <v>112.5</v>
      </c>
      <c r="BL84" s="19">
        <f>IFERROR(INDEX(Settings!$G:$G, MATCH('PROJECT NAME NOV'!$B84 &amp; "-" &amp; 'PROJECT NAME NOV'!$C84, Settings!$H:$H, 0)), "")</f>
        <v>900</v>
      </c>
      <c r="BM84" s="20">
        <f t="shared" si="26"/>
        <v>7481.25</v>
      </c>
      <c r="BN84" s="20">
        <f t="shared" si="23"/>
        <v>374.0625</v>
      </c>
      <c r="BO84" s="19">
        <f t="shared" si="16"/>
        <v>7107.1875</v>
      </c>
      <c r="BP84" s="54"/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7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/>
      <c r="CC84" s="21"/>
      <c r="CD84" s="21"/>
      <c r="CE84" s="8">
        <f t="shared" si="17"/>
        <v>0</v>
      </c>
      <c r="CF84" s="8">
        <f t="shared" si="18"/>
        <v>0</v>
      </c>
      <c r="CG84" s="19">
        <f>IFERROR(INDEX(Settings!$F:$F, MATCH('PROJECT NAME NOV'!$B84 &amp; "-" &amp; 'PROJECT NAME NOV'!$C84, Settings!$H:$H,0)), "")</f>
        <v>112.5</v>
      </c>
      <c r="CH84" s="19">
        <f>IFERROR(INDEX(Settings!$G:$G, MATCH('PROJECT NAME NOV'!$B84 &amp; "-" &amp; 'PROJECT NAME NOV'!$C84, Settings!$H:$H, 0)), "")</f>
        <v>900</v>
      </c>
      <c r="CI84" s="20">
        <f t="shared" si="27"/>
        <v>0</v>
      </c>
      <c r="CJ84" s="20">
        <f t="shared" si="24"/>
        <v>0</v>
      </c>
      <c r="CK84" s="19">
        <f t="shared" si="19"/>
        <v>0</v>
      </c>
      <c r="CM84" s="27"/>
      <c r="CN84" s="27"/>
      <c r="CO84" s="27"/>
      <c r="CP84" s="27"/>
      <c r="CQ84" s="27"/>
      <c r="CR84" s="27"/>
      <c r="CS84" s="8">
        <f t="shared" si="43"/>
        <v>0</v>
      </c>
      <c r="CT84" s="8">
        <f t="shared" si="65"/>
        <v>0</v>
      </c>
      <c r="CU84" s="19">
        <f>IFERROR(INDEX(Settings!$F:$F, MATCH('PROJECT NAME NOV'!$B84 &amp; "-" &amp; 'PROJECT NAME NOV'!$C84, Settings!$H:$H,0)), "")</f>
        <v>112.5</v>
      </c>
      <c r="CV84" s="19">
        <f>IFERROR(INDEX(Settings!$G:$G, MATCH('PROJECT NAME NOV'!$B84 &amp; "-" &amp; 'PROJECT NAME NOV'!$C84, Settings!$H:$H, 0)), "")</f>
        <v>900</v>
      </c>
      <c r="CW84" s="19">
        <f t="shared" si="62"/>
        <v>0</v>
      </c>
      <c r="CX84" s="20">
        <f t="shared" si="21"/>
        <v>0</v>
      </c>
      <c r="CY84" s="19">
        <f t="shared" si="45"/>
        <v>0</v>
      </c>
    </row>
    <row r="85" spans="1:110" x14ac:dyDescent="0.3">
      <c r="B85" s="3" t="s">
        <v>83</v>
      </c>
      <c r="C85" s="1" t="s">
        <v>28</v>
      </c>
      <c r="D85" s="3"/>
      <c r="E85" s="4" t="s">
        <v>86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8">
        <f t="shared" si="63"/>
        <v>0</v>
      </c>
      <c r="S85" s="8">
        <f t="shared" si="64"/>
        <v>0</v>
      </c>
      <c r="T85" s="19">
        <f>IFERROR(INDEX(Settings!$F:$F, MATCH('PROJECT NAME NOV'!$B85 &amp; "-" &amp; 'PROJECT NAME NOV'!$C85, Settings!$H:$H,0)), "")</f>
        <v>112.5</v>
      </c>
      <c r="U85" s="19">
        <f>IFERROR(INDEX(Settings!$G:$G, MATCH('PROJECT NAME NOV'!$B85 &amp; "-" &amp; 'PROJECT NAME NOV'!$C85, Settings!$H:$H, 0)), "")</f>
        <v>900</v>
      </c>
      <c r="V85" s="20">
        <f t="shared" si="25"/>
        <v>0</v>
      </c>
      <c r="W85" s="20">
        <f t="shared" si="22"/>
        <v>0</v>
      </c>
      <c r="X85" s="19">
        <f t="shared" si="8"/>
        <v>0</v>
      </c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44">
        <f>IFERROR(INDEX(Settings!$F:$F, MATCH('PROJECT NAME NOV'!$B85 &amp; "-" &amp; 'PROJECT NAME NOV'!$C85, Settings!$H:$H,0)), "")</f>
        <v>112.5</v>
      </c>
      <c r="AN85" s="44">
        <f>IFERROR(INDEX(Settings!$G:$G, MATCH('PROJECT NAME NOV'!$B85 &amp; "-" &amp; 'PROJECT NAME NOV'!$C85, Settings!$H:$H, 0)), "")</f>
        <v>900</v>
      </c>
      <c r="AO85" s="21">
        <f t="shared" si="9"/>
        <v>0</v>
      </c>
      <c r="AP85" s="21">
        <f t="shared" si="10"/>
        <v>0</v>
      </c>
      <c r="AQ85" s="44">
        <f t="shared" si="11"/>
        <v>0</v>
      </c>
      <c r="AR85" s="44">
        <f t="shared" si="12"/>
        <v>0</v>
      </c>
      <c r="AS85" s="44">
        <f t="shared" si="13"/>
        <v>0</v>
      </c>
      <c r="AT85" s="59"/>
      <c r="AU85" s="21">
        <v>8</v>
      </c>
      <c r="AV85" s="21">
        <v>0</v>
      </c>
      <c r="AW85" s="21">
        <v>8</v>
      </c>
      <c r="AX85" s="21">
        <v>0</v>
      </c>
      <c r="AY85" s="21">
        <v>8</v>
      </c>
      <c r="AZ85" s="21">
        <v>0</v>
      </c>
      <c r="BA85" s="21">
        <v>8</v>
      </c>
      <c r="BB85" s="27">
        <v>3</v>
      </c>
      <c r="BC85" s="27">
        <v>8</v>
      </c>
      <c r="BD85" s="21">
        <v>2</v>
      </c>
      <c r="BE85" s="21">
        <v>8</v>
      </c>
      <c r="BF85" s="27">
        <v>0</v>
      </c>
      <c r="BG85" s="27">
        <v>8</v>
      </c>
      <c r="BH85" s="21">
        <v>2</v>
      </c>
      <c r="BI85" s="8">
        <f t="shared" si="14"/>
        <v>56</v>
      </c>
      <c r="BJ85" s="8">
        <f t="shared" si="15"/>
        <v>7</v>
      </c>
      <c r="BK85" s="19">
        <f>IFERROR(INDEX(Settings!$F:$F, MATCH('PROJECT NAME NOV'!$B85 &amp; "-" &amp; 'PROJECT NAME NOV'!$C85, Settings!$H:$H,0)), "")</f>
        <v>112.5</v>
      </c>
      <c r="BL85" s="19">
        <f>IFERROR(INDEX(Settings!$G:$G, MATCH('PROJECT NAME NOV'!$B85 &amp; "-" &amp; 'PROJECT NAME NOV'!$C85, Settings!$H:$H, 0)), "")</f>
        <v>900</v>
      </c>
      <c r="BM85" s="20">
        <f t="shared" si="26"/>
        <v>7481.25</v>
      </c>
      <c r="BN85" s="20">
        <f t="shared" si="23"/>
        <v>374.0625</v>
      </c>
      <c r="BO85" s="19">
        <f t="shared" si="16"/>
        <v>7107.1875</v>
      </c>
      <c r="BP85" s="54"/>
      <c r="BQ85" s="21">
        <v>8</v>
      </c>
      <c r="BR85" s="21">
        <v>4</v>
      </c>
      <c r="BS85" s="27">
        <v>8</v>
      </c>
      <c r="BT85" s="27">
        <v>4</v>
      </c>
      <c r="BU85" s="27">
        <v>8</v>
      </c>
      <c r="BV85" s="27">
        <v>0</v>
      </c>
      <c r="BW85" s="27">
        <v>8</v>
      </c>
      <c r="BX85" s="27">
        <v>4</v>
      </c>
      <c r="BY85" s="27">
        <v>8</v>
      </c>
      <c r="BZ85" s="27">
        <v>4</v>
      </c>
      <c r="CA85" s="27">
        <v>8</v>
      </c>
      <c r="CB85" s="27"/>
      <c r="CC85" s="27"/>
      <c r="CD85" s="27"/>
      <c r="CE85" s="8">
        <f t="shared" si="17"/>
        <v>48</v>
      </c>
      <c r="CF85" s="8">
        <f t="shared" si="18"/>
        <v>16</v>
      </c>
      <c r="CG85" s="19">
        <f>IFERROR(INDEX(Settings!$F:$F, MATCH('PROJECT NAME NOV'!$B85 &amp; "-" &amp; 'PROJECT NAME NOV'!$C85, Settings!$H:$H,0)), "")</f>
        <v>112.5</v>
      </c>
      <c r="CH85" s="19">
        <f>IFERROR(INDEX(Settings!$G:$G, MATCH('PROJECT NAME NOV'!$B85 &amp; "-" &amp; 'PROJECT NAME NOV'!$C85, Settings!$H:$H, 0)), "")</f>
        <v>900</v>
      </c>
      <c r="CI85" s="20">
        <f t="shared" si="27"/>
        <v>8100</v>
      </c>
      <c r="CJ85" s="20">
        <f t="shared" si="24"/>
        <v>405</v>
      </c>
      <c r="CK85" s="19">
        <f t="shared" si="19"/>
        <v>7695</v>
      </c>
      <c r="CM85" s="27"/>
      <c r="CN85" s="27"/>
      <c r="CO85" s="27"/>
      <c r="CP85" s="27"/>
      <c r="CQ85" s="27"/>
      <c r="CR85" s="27"/>
      <c r="CS85" s="8">
        <f t="shared" si="43"/>
        <v>0</v>
      </c>
      <c r="CT85" s="8">
        <f t="shared" si="65"/>
        <v>0</v>
      </c>
      <c r="CU85" s="19">
        <f>IFERROR(INDEX(Settings!$F:$F, MATCH('PROJECT NAME NOV'!$B85 &amp; "-" &amp; 'PROJECT NAME NOV'!$C85, Settings!$H:$H,0)), "")</f>
        <v>112.5</v>
      </c>
      <c r="CV85" s="19">
        <f>IFERROR(INDEX(Settings!$G:$G, MATCH('PROJECT NAME NOV'!$B85 &amp; "-" &amp; 'PROJECT NAME NOV'!$C85, Settings!$H:$H, 0)), "")</f>
        <v>900</v>
      </c>
      <c r="CW85" s="19">
        <f t="shared" si="62"/>
        <v>0</v>
      </c>
      <c r="CX85" s="20">
        <f t="shared" si="21"/>
        <v>0</v>
      </c>
      <c r="CY85" s="19">
        <f t="shared" si="45"/>
        <v>0</v>
      </c>
    </row>
    <row r="86" spans="1:110" x14ac:dyDescent="0.3">
      <c r="B86" s="3" t="s">
        <v>83</v>
      </c>
      <c r="C86" s="1" t="s">
        <v>28</v>
      </c>
      <c r="D86" s="3"/>
      <c r="E86" s="4" t="s">
        <v>87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8">
        <f t="shared" si="63"/>
        <v>0</v>
      </c>
      <c r="S86" s="8">
        <f t="shared" si="64"/>
        <v>0</v>
      </c>
      <c r="T86" s="19">
        <f>IFERROR(INDEX(Settings!$F:$F, MATCH('PROJECT NAME NOV'!$B86 &amp; "-" &amp; 'PROJECT NAME NOV'!$C86, Settings!$H:$H,0)), "")</f>
        <v>112.5</v>
      </c>
      <c r="U86" s="19">
        <f>IFERROR(INDEX(Settings!$G:$G, MATCH('PROJECT NAME NOV'!$B86 &amp; "-" &amp; 'PROJECT NAME NOV'!$C86, Settings!$H:$H, 0)), "")</f>
        <v>900</v>
      </c>
      <c r="V86" s="20">
        <f t="shared" si="25"/>
        <v>0</v>
      </c>
      <c r="W86" s="20">
        <f t="shared" si="22"/>
        <v>0</v>
      </c>
      <c r="X86" s="19">
        <f t="shared" si="8"/>
        <v>0</v>
      </c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44">
        <f>IFERROR(INDEX(Settings!$F:$F, MATCH('PROJECT NAME NOV'!$B86 &amp; "-" &amp; 'PROJECT NAME NOV'!$C86, Settings!$H:$H,0)), "")</f>
        <v>112.5</v>
      </c>
      <c r="AN86" s="44">
        <f>IFERROR(INDEX(Settings!$G:$G, MATCH('PROJECT NAME NOV'!$B86 &amp; "-" &amp; 'PROJECT NAME NOV'!$C86, Settings!$H:$H, 0)), "")</f>
        <v>900</v>
      </c>
      <c r="AO86" s="21">
        <f t="shared" si="9"/>
        <v>0</v>
      </c>
      <c r="AP86" s="21">
        <f t="shared" si="10"/>
        <v>0</v>
      </c>
      <c r="AQ86" s="44">
        <f t="shared" si="11"/>
        <v>0</v>
      </c>
      <c r="AR86" s="44">
        <f t="shared" si="12"/>
        <v>0</v>
      </c>
      <c r="AS86" s="44">
        <f t="shared" si="13"/>
        <v>0</v>
      </c>
      <c r="AT86" s="59"/>
      <c r="AU86" s="21">
        <v>8</v>
      </c>
      <c r="AV86" s="21">
        <v>0</v>
      </c>
      <c r="AW86" s="21">
        <v>8</v>
      </c>
      <c r="AX86" s="21">
        <v>0</v>
      </c>
      <c r="AY86" s="21">
        <v>8</v>
      </c>
      <c r="AZ86" s="21">
        <v>0</v>
      </c>
      <c r="BA86" s="21">
        <v>0</v>
      </c>
      <c r="BB86" s="27">
        <v>0</v>
      </c>
      <c r="BC86" s="27">
        <v>0</v>
      </c>
      <c r="BD86" s="21">
        <v>0</v>
      </c>
      <c r="BE86" s="21">
        <v>8</v>
      </c>
      <c r="BF86" s="27">
        <v>0</v>
      </c>
      <c r="BG86" s="27">
        <v>8</v>
      </c>
      <c r="BH86" s="21">
        <v>2</v>
      </c>
      <c r="BI86" s="8">
        <f t="shared" si="14"/>
        <v>40</v>
      </c>
      <c r="BJ86" s="8">
        <f t="shared" si="15"/>
        <v>2</v>
      </c>
      <c r="BK86" s="19">
        <f>IFERROR(INDEX(Settings!$F:$F, MATCH('PROJECT NAME NOV'!$B86 &amp; "-" &amp; 'PROJECT NAME NOV'!$C86, Settings!$H:$H,0)), "")</f>
        <v>112.5</v>
      </c>
      <c r="BL86" s="19">
        <f>IFERROR(INDEX(Settings!$G:$G, MATCH('PROJECT NAME NOV'!$B86 &amp; "-" &amp; 'PROJECT NAME NOV'!$C86, Settings!$H:$H, 0)), "")</f>
        <v>900</v>
      </c>
      <c r="BM86" s="20">
        <f t="shared" si="26"/>
        <v>4837.5</v>
      </c>
      <c r="BN86" s="20">
        <f t="shared" si="23"/>
        <v>241.875</v>
      </c>
      <c r="BO86" s="19">
        <f t="shared" si="16"/>
        <v>4595.625</v>
      </c>
      <c r="BP86" s="54"/>
      <c r="BQ86" s="21">
        <v>8</v>
      </c>
      <c r="BR86" s="21">
        <v>4</v>
      </c>
      <c r="BS86" s="27">
        <v>0</v>
      </c>
      <c r="BT86" s="27">
        <v>0</v>
      </c>
      <c r="BU86" s="27">
        <v>0</v>
      </c>
      <c r="BV86" s="27">
        <v>0</v>
      </c>
      <c r="BW86" s="27">
        <v>8</v>
      </c>
      <c r="BX86" s="27">
        <v>4</v>
      </c>
      <c r="BY86" s="27">
        <v>8</v>
      </c>
      <c r="BZ86" s="27">
        <v>4</v>
      </c>
      <c r="CA86" s="27">
        <v>8</v>
      </c>
      <c r="CB86" s="27"/>
      <c r="CC86" s="27"/>
      <c r="CD86" s="27"/>
      <c r="CE86" s="8">
        <f t="shared" si="17"/>
        <v>32</v>
      </c>
      <c r="CF86" s="8">
        <f t="shared" si="18"/>
        <v>12</v>
      </c>
      <c r="CG86" s="19">
        <f>IFERROR(INDEX(Settings!$F:$F, MATCH('PROJECT NAME NOV'!$B86 &amp; "-" &amp; 'PROJECT NAME NOV'!$C86, Settings!$H:$H,0)), "")</f>
        <v>112.5</v>
      </c>
      <c r="CH86" s="19">
        <f>IFERROR(INDEX(Settings!$G:$G, MATCH('PROJECT NAME NOV'!$B86 &amp; "-" &amp; 'PROJECT NAME NOV'!$C86, Settings!$H:$H, 0)), "")</f>
        <v>900</v>
      </c>
      <c r="CI86" s="20">
        <f t="shared" si="27"/>
        <v>5625</v>
      </c>
      <c r="CJ86" s="20">
        <f t="shared" si="24"/>
        <v>281.25</v>
      </c>
      <c r="CK86" s="19">
        <f t="shared" si="19"/>
        <v>5343.75</v>
      </c>
      <c r="CM86" s="27"/>
      <c r="CN86" s="27"/>
      <c r="CO86" s="27"/>
      <c r="CP86" s="27"/>
      <c r="CQ86" s="27"/>
      <c r="CR86" s="27"/>
      <c r="CS86" s="8">
        <f t="shared" si="43"/>
        <v>0</v>
      </c>
      <c r="CT86" s="8">
        <f t="shared" si="65"/>
        <v>0</v>
      </c>
      <c r="CU86" s="19">
        <f>IFERROR(INDEX(Settings!$F:$F, MATCH('PROJECT NAME NOV'!$B86 &amp; "-" &amp; 'PROJECT NAME NOV'!$C86, Settings!$H:$H,0)), "")</f>
        <v>112.5</v>
      </c>
      <c r="CV86" s="19">
        <f>IFERROR(INDEX(Settings!$G:$G, MATCH('PROJECT NAME NOV'!$B86 &amp; "-" &amp; 'PROJECT NAME NOV'!$C86, Settings!$H:$H, 0)), "")</f>
        <v>900</v>
      </c>
      <c r="CW86" s="19">
        <f t="shared" si="62"/>
        <v>0</v>
      </c>
      <c r="CX86" s="20">
        <f t="shared" si="21"/>
        <v>0</v>
      </c>
      <c r="CY86" s="19">
        <f t="shared" si="45"/>
        <v>0</v>
      </c>
    </row>
    <row r="87" spans="1:110" x14ac:dyDescent="0.3">
      <c r="B87" s="3" t="s">
        <v>83</v>
      </c>
      <c r="C87" s="1" t="s">
        <v>28</v>
      </c>
      <c r="D87" s="3"/>
      <c r="E87" s="4" t="s">
        <v>88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8">
        <f t="shared" si="63"/>
        <v>0</v>
      </c>
      <c r="S87" s="8">
        <f t="shared" si="64"/>
        <v>0</v>
      </c>
      <c r="T87" s="19">
        <f>IFERROR(INDEX(Settings!$F:$F, MATCH('PROJECT NAME NOV'!$B87 &amp; "-" &amp; 'PROJECT NAME NOV'!$C87, Settings!$H:$H,0)), "")</f>
        <v>112.5</v>
      </c>
      <c r="U87" s="19">
        <f>IFERROR(INDEX(Settings!$G:$G, MATCH('PROJECT NAME NOV'!$B87 &amp; "-" &amp; 'PROJECT NAME NOV'!$C87, Settings!$H:$H, 0)), "")</f>
        <v>900</v>
      </c>
      <c r="V87" s="20">
        <f t="shared" si="25"/>
        <v>0</v>
      </c>
      <c r="W87" s="20">
        <f t="shared" si="22"/>
        <v>0</v>
      </c>
      <c r="X87" s="19">
        <f t="shared" si="8"/>
        <v>0</v>
      </c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44">
        <f>IFERROR(INDEX(Settings!$F:$F, MATCH('PROJECT NAME NOV'!$B87 &amp; "-" &amp; 'PROJECT NAME NOV'!$C87, Settings!$H:$H,0)), "")</f>
        <v>112.5</v>
      </c>
      <c r="AN87" s="44">
        <f>IFERROR(INDEX(Settings!$G:$G, MATCH('PROJECT NAME NOV'!$B87 &amp; "-" &amp; 'PROJECT NAME NOV'!$C87, Settings!$H:$H, 0)), "")</f>
        <v>900</v>
      </c>
      <c r="AO87" s="21">
        <f t="shared" si="9"/>
        <v>0</v>
      </c>
      <c r="AP87" s="21">
        <f t="shared" si="10"/>
        <v>0</v>
      </c>
      <c r="AQ87" s="44">
        <f t="shared" si="11"/>
        <v>0</v>
      </c>
      <c r="AR87" s="44">
        <f t="shared" si="12"/>
        <v>0</v>
      </c>
      <c r="AS87" s="44">
        <f t="shared" si="13"/>
        <v>0</v>
      </c>
      <c r="AT87" s="59"/>
      <c r="AU87" s="21">
        <v>8</v>
      </c>
      <c r="AV87" s="21">
        <v>0</v>
      </c>
      <c r="AW87" s="21">
        <v>8</v>
      </c>
      <c r="AX87" s="21">
        <v>0</v>
      </c>
      <c r="AY87" s="21">
        <v>8</v>
      </c>
      <c r="AZ87" s="21">
        <v>0</v>
      </c>
      <c r="BA87" s="21">
        <v>8</v>
      </c>
      <c r="BB87" s="27">
        <v>3</v>
      </c>
      <c r="BC87" s="27">
        <v>8</v>
      </c>
      <c r="BD87" s="21">
        <v>2</v>
      </c>
      <c r="BE87" s="21">
        <v>8</v>
      </c>
      <c r="BF87" s="27">
        <v>0</v>
      </c>
      <c r="BG87" s="27">
        <v>0</v>
      </c>
      <c r="BH87" s="21">
        <v>0</v>
      </c>
      <c r="BI87" s="8">
        <f t="shared" si="14"/>
        <v>48</v>
      </c>
      <c r="BJ87" s="8">
        <f t="shared" si="15"/>
        <v>5</v>
      </c>
      <c r="BK87" s="19">
        <f>IFERROR(INDEX(Settings!$F:$F, MATCH('PROJECT NAME NOV'!$B87 &amp; "-" &amp; 'PROJECT NAME NOV'!$C87, Settings!$H:$H,0)), "")</f>
        <v>112.5</v>
      </c>
      <c r="BL87" s="19">
        <f>IFERROR(INDEX(Settings!$G:$G, MATCH('PROJECT NAME NOV'!$B87 &amp; "-" &amp; 'PROJECT NAME NOV'!$C87, Settings!$H:$H, 0)), "")</f>
        <v>900</v>
      </c>
      <c r="BM87" s="20">
        <f t="shared" si="26"/>
        <v>6243.75</v>
      </c>
      <c r="BN87" s="20">
        <f t="shared" si="23"/>
        <v>312.1875</v>
      </c>
      <c r="BO87" s="19">
        <f t="shared" si="16"/>
        <v>5931.5625</v>
      </c>
      <c r="BP87" s="54"/>
      <c r="BQ87" s="21">
        <v>0</v>
      </c>
      <c r="BR87" s="21">
        <v>0</v>
      </c>
      <c r="BS87" s="27">
        <v>0</v>
      </c>
      <c r="BT87" s="27">
        <v>0</v>
      </c>
      <c r="BU87" s="27">
        <v>0</v>
      </c>
      <c r="BV87" s="27">
        <v>0</v>
      </c>
      <c r="BW87" s="27">
        <v>8</v>
      </c>
      <c r="BX87" s="27">
        <v>4</v>
      </c>
      <c r="BY87" s="27">
        <v>8</v>
      </c>
      <c r="BZ87" s="27">
        <v>4</v>
      </c>
      <c r="CA87" s="27">
        <v>8</v>
      </c>
      <c r="CB87" s="27"/>
      <c r="CC87" s="27"/>
      <c r="CD87" s="27"/>
      <c r="CE87" s="8">
        <f t="shared" si="17"/>
        <v>24</v>
      </c>
      <c r="CF87" s="8">
        <f t="shared" si="18"/>
        <v>8</v>
      </c>
      <c r="CG87" s="19">
        <f>IFERROR(INDEX(Settings!$F:$F, MATCH('PROJECT NAME NOV'!$B87 &amp; "-" &amp; 'PROJECT NAME NOV'!$C87, Settings!$H:$H,0)), "")</f>
        <v>112.5</v>
      </c>
      <c r="CH87" s="19">
        <f>IFERROR(INDEX(Settings!$G:$G, MATCH('PROJECT NAME NOV'!$B87 &amp; "-" &amp; 'PROJECT NAME NOV'!$C87, Settings!$H:$H, 0)), "")</f>
        <v>900</v>
      </c>
      <c r="CI87" s="20">
        <f t="shared" si="27"/>
        <v>4050</v>
      </c>
      <c r="CJ87" s="20">
        <f t="shared" si="24"/>
        <v>202.5</v>
      </c>
      <c r="CK87" s="19">
        <f t="shared" si="19"/>
        <v>3847.5</v>
      </c>
      <c r="CM87" s="27"/>
      <c r="CN87" s="27"/>
      <c r="CO87" s="27"/>
      <c r="CP87" s="27"/>
      <c r="CQ87" s="27"/>
      <c r="CR87" s="27"/>
      <c r="CS87" s="8">
        <f t="shared" si="43"/>
        <v>0</v>
      </c>
      <c r="CT87" s="8">
        <f t="shared" si="65"/>
        <v>0</v>
      </c>
      <c r="CU87" s="19">
        <f>IFERROR(INDEX(Settings!$F:$F, MATCH('PROJECT NAME NOV'!$B87 &amp; "-" &amp; 'PROJECT NAME NOV'!$C87, Settings!$H:$H,0)), "")</f>
        <v>112.5</v>
      </c>
      <c r="CV87" s="19">
        <f>IFERROR(INDEX(Settings!$G:$G, MATCH('PROJECT NAME NOV'!$B87 &amp; "-" &amp; 'PROJECT NAME NOV'!$C87, Settings!$H:$H, 0)), "")</f>
        <v>900</v>
      </c>
      <c r="CW87" s="19">
        <f t="shared" si="62"/>
        <v>0</v>
      </c>
      <c r="CX87" s="20">
        <f t="shared" si="21"/>
        <v>0</v>
      </c>
      <c r="CY87" s="19">
        <f t="shared" si="45"/>
        <v>0</v>
      </c>
    </row>
    <row r="88" spans="1:110" x14ac:dyDescent="0.3">
      <c r="B88" s="3" t="s">
        <v>83</v>
      </c>
      <c r="C88" s="1" t="s">
        <v>28</v>
      </c>
      <c r="D88" s="3"/>
      <c r="E88" s="4" t="s">
        <v>89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8">
        <f t="shared" si="63"/>
        <v>0</v>
      </c>
      <c r="S88" s="8">
        <f t="shared" si="64"/>
        <v>0</v>
      </c>
      <c r="T88" s="19">
        <f>IFERROR(INDEX(Settings!$F:$F, MATCH('PROJECT NAME NOV'!$B88 &amp; "-" &amp; 'PROJECT NAME NOV'!$C88, Settings!$H:$H,0)), "")</f>
        <v>112.5</v>
      </c>
      <c r="U88" s="19">
        <f>IFERROR(INDEX(Settings!$G:$G, MATCH('PROJECT NAME NOV'!$B88 &amp; "-" &amp; 'PROJECT NAME NOV'!$C88, Settings!$H:$H, 0)), "")</f>
        <v>900</v>
      </c>
      <c r="V88" s="20">
        <f t="shared" si="25"/>
        <v>0</v>
      </c>
      <c r="W88" s="20">
        <f t="shared" si="22"/>
        <v>0</v>
      </c>
      <c r="X88" s="19">
        <f t="shared" si="8"/>
        <v>0</v>
      </c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44">
        <f>IFERROR(INDEX(Settings!$F:$F, MATCH('PROJECT NAME NOV'!$B88 &amp; "-" &amp; 'PROJECT NAME NOV'!$C88, Settings!$H:$H,0)), "")</f>
        <v>112.5</v>
      </c>
      <c r="AN88" s="44">
        <f>IFERROR(INDEX(Settings!$G:$G, MATCH('PROJECT NAME NOV'!$B88 &amp; "-" &amp; 'PROJECT NAME NOV'!$C88, Settings!$H:$H, 0)), "")</f>
        <v>900</v>
      </c>
      <c r="AO88" s="21">
        <f t="shared" si="9"/>
        <v>0</v>
      </c>
      <c r="AP88" s="21">
        <f t="shared" si="10"/>
        <v>0</v>
      </c>
      <c r="AQ88" s="44">
        <f t="shared" si="11"/>
        <v>0</v>
      </c>
      <c r="AR88" s="44">
        <f t="shared" si="12"/>
        <v>0</v>
      </c>
      <c r="AS88" s="44">
        <f t="shared" si="13"/>
        <v>0</v>
      </c>
      <c r="AT88" s="59"/>
      <c r="AU88" s="21">
        <v>8</v>
      </c>
      <c r="AV88" s="21">
        <v>0</v>
      </c>
      <c r="AW88" s="21">
        <v>8</v>
      </c>
      <c r="AX88" s="21">
        <v>0</v>
      </c>
      <c r="AY88" s="21">
        <v>8</v>
      </c>
      <c r="AZ88" s="21">
        <v>0</v>
      </c>
      <c r="BA88" s="21">
        <v>8</v>
      </c>
      <c r="BB88" s="27">
        <v>3</v>
      </c>
      <c r="BC88" s="27">
        <v>8</v>
      </c>
      <c r="BD88" s="21">
        <v>2</v>
      </c>
      <c r="BE88" s="21">
        <v>8</v>
      </c>
      <c r="BF88" s="27">
        <v>0</v>
      </c>
      <c r="BG88" s="27">
        <v>8</v>
      </c>
      <c r="BH88" s="21">
        <v>2</v>
      </c>
      <c r="BI88" s="8">
        <f t="shared" si="14"/>
        <v>56</v>
      </c>
      <c r="BJ88" s="8">
        <f t="shared" si="15"/>
        <v>7</v>
      </c>
      <c r="BK88" s="19">
        <f>IFERROR(INDEX(Settings!$F:$F, MATCH('PROJECT NAME NOV'!$B88 &amp; "-" &amp; 'PROJECT NAME NOV'!$C88, Settings!$H:$H,0)), "")</f>
        <v>112.5</v>
      </c>
      <c r="BL88" s="19">
        <f>IFERROR(INDEX(Settings!$G:$G, MATCH('PROJECT NAME NOV'!$B88 &amp; "-" &amp; 'PROJECT NAME NOV'!$C88, Settings!$H:$H, 0)), "")</f>
        <v>900</v>
      </c>
      <c r="BM88" s="20">
        <f t="shared" si="26"/>
        <v>7481.25</v>
      </c>
      <c r="BN88" s="20">
        <f t="shared" si="23"/>
        <v>374.0625</v>
      </c>
      <c r="BO88" s="19">
        <f t="shared" si="16"/>
        <v>7107.1875</v>
      </c>
      <c r="BP88" s="54"/>
      <c r="BQ88" s="21">
        <v>8</v>
      </c>
      <c r="BR88" s="21">
        <v>4</v>
      </c>
      <c r="BS88" s="27">
        <v>8</v>
      </c>
      <c r="BT88" s="27">
        <v>4</v>
      </c>
      <c r="BU88" s="27">
        <v>8</v>
      </c>
      <c r="BV88" s="27">
        <v>0</v>
      </c>
      <c r="BW88" s="27">
        <v>8</v>
      </c>
      <c r="BX88" s="27">
        <v>4</v>
      </c>
      <c r="BY88" s="27">
        <v>0</v>
      </c>
      <c r="BZ88" s="27">
        <v>0</v>
      </c>
      <c r="CA88" s="27">
        <v>0</v>
      </c>
      <c r="CB88" s="27"/>
      <c r="CC88" s="27"/>
      <c r="CD88" s="27"/>
      <c r="CE88" s="8">
        <f t="shared" si="17"/>
        <v>32</v>
      </c>
      <c r="CF88" s="8">
        <f t="shared" si="18"/>
        <v>12</v>
      </c>
      <c r="CG88" s="19">
        <f>IFERROR(INDEX(Settings!$F:$F, MATCH('PROJECT NAME NOV'!$B88 &amp; "-" &amp; 'PROJECT NAME NOV'!$C88, Settings!$H:$H,0)), "")</f>
        <v>112.5</v>
      </c>
      <c r="CH88" s="19">
        <f>IFERROR(INDEX(Settings!$G:$G, MATCH('PROJECT NAME NOV'!$B88 &amp; "-" &amp; 'PROJECT NAME NOV'!$C88, Settings!$H:$H, 0)), "")</f>
        <v>900</v>
      </c>
      <c r="CI88" s="20">
        <f t="shared" si="27"/>
        <v>5625</v>
      </c>
      <c r="CJ88" s="20">
        <f t="shared" si="24"/>
        <v>281.25</v>
      </c>
      <c r="CK88" s="19">
        <f t="shared" si="19"/>
        <v>5343.75</v>
      </c>
      <c r="CM88" s="27"/>
      <c r="CN88" s="27"/>
      <c r="CO88" s="27"/>
      <c r="CP88" s="27"/>
      <c r="CQ88" s="27"/>
      <c r="CR88" s="27"/>
      <c r="CS88" s="8">
        <f t="shared" si="43"/>
        <v>0</v>
      </c>
      <c r="CT88" s="8">
        <f t="shared" si="65"/>
        <v>0</v>
      </c>
      <c r="CU88" s="19">
        <f>IFERROR(INDEX(Settings!$F:$F, MATCH('PROJECT NAME NOV'!$B88 &amp; "-" &amp; 'PROJECT NAME NOV'!$C88, Settings!$H:$H,0)), "")</f>
        <v>112.5</v>
      </c>
      <c r="CV88" s="19">
        <f>IFERROR(INDEX(Settings!$G:$G, MATCH('PROJECT NAME NOV'!$B88 &amp; "-" &amp; 'PROJECT NAME NOV'!$C88, Settings!$H:$H, 0)), "")</f>
        <v>900</v>
      </c>
      <c r="CW88" s="19">
        <f t="shared" si="62"/>
        <v>0</v>
      </c>
      <c r="CX88" s="20">
        <f t="shared" si="21"/>
        <v>0</v>
      </c>
      <c r="CY88" s="19">
        <f t="shared" si="45"/>
        <v>0</v>
      </c>
    </row>
    <row r="89" spans="1:110" x14ac:dyDescent="0.3">
      <c r="B89" s="3" t="s">
        <v>83</v>
      </c>
      <c r="C89" s="1" t="s">
        <v>28</v>
      </c>
      <c r="D89" s="3"/>
      <c r="E89" s="4" t="s">
        <v>90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8">
        <f t="shared" si="63"/>
        <v>0</v>
      </c>
      <c r="S89" s="8">
        <f t="shared" si="64"/>
        <v>0</v>
      </c>
      <c r="T89" s="19">
        <f>IFERROR(INDEX(Settings!$F:$F, MATCH('PROJECT NAME NOV'!$B89 &amp; "-" &amp; 'PROJECT NAME NOV'!$C89, Settings!$H:$H,0)), "")</f>
        <v>112.5</v>
      </c>
      <c r="U89" s="19">
        <f>IFERROR(INDEX(Settings!$G:$G, MATCH('PROJECT NAME NOV'!$B89 &amp; "-" &amp; 'PROJECT NAME NOV'!$C89, Settings!$H:$H, 0)), "")</f>
        <v>900</v>
      </c>
      <c r="V89" s="20">
        <f t="shared" si="25"/>
        <v>0</v>
      </c>
      <c r="W89" s="20">
        <f t="shared" si="22"/>
        <v>0</v>
      </c>
      <c r="X89" s="19">
        <f t="shared" si="8"/>
        <v>0</v>
      </c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44">
        <f>IFERROR(INDEX(Settings!$F:$F, MATCH('PROJECT NAME NOV'!$B89 &amp; "-" &amp; 'PROJECT NAME NOV'!$C89, Settings!$H:$H,0)), "")</f>
        <v>112.5</v>
      </c>
      <c r="AN89" s="44">
        <f>IFERROR(INDEX(Settings!$G:$G, MATCH('PROJECT NAME NOV'!$B89 &amp; "-" &amp; 'PROJECT NAME NOV'!$C89, Settings!$H:$H, 0)), "")</f>
        <v>900</v>
      </c>
      <c r="AO89" s="21">
        <f t="shared" si="9"/>
        <v>0</v>
      </c>
      <c r="AP89" s="21">
        <f t="shared" si="10"/>
        <v>0</v>
      </c>
      <c r="AQ89" s="44">
        <f t="shared" si="11"/>
        <v>0</v>
      </c>
      <c r="AR89" s="44">
        <f t="shared" si="12"/>
        <v>0</v>
      </c>
      <c r="AS89" s="44">
        <f t="shared" si="13"/>
        <v>0</v>
      </c>
      <c r="AT89" s="59"/>
      <c r="AU89" s="21">
        <v>8</v>
      </c>
      <c r="AV89" s="21">
        <v>0</v>
      </c>
      <c r="AW89" s="21">
        <v>8</v>
      </c>
      <c r="AX89" s="21">
        <v>0</v>
      </c>
      <c r="AY89" s="21">
        <v>8</v>
      </c>
      <c r="AZ89" s="21">
        <v>0</v>
      </c>
      <c r="BA89" s="21">
        <v>8</v>
      </c>
      <c r="BB89" s="27">
        <v>3</v>
      </c>
      <c r="BC89" s="27">
        <v>8</v>
      </c>
      <c r="BD89" s="21">
        <v>2</v>
      </c>
      <c r="BE89" s="21">
        <v>8</v>
      </c>
      <c r="BF89" s="27">
        <v>0</v>
      </c>
      <c r="BG89" s="27">
        <v>8</v>
      </c>
      <c r="BH89" s="21">
        <v>2</v>
      </c>
      <c r="BI89" s="8">
        <f t="shared" si="14"/>
        <v>56</v>
      </c>
      <c r="BJ89" s="8">
        <f t="shared" si="15"/>
        <v>7</v>
      </c>
      <c r="BK89" s="19">
        <f>IFERROR(INDEX(Settings!$F:$F, MATCH('PROJECT NAME NOV'!$B89 &amp; "-" &amp; 'PROJECT NAME NOV'!$C89, Settings!$H:$H,0)), "")</f>
        <v>112.5</v>
      </c>
      <c r="BL89" s="19">
        <f>IFERROR(INDEX(Settings!$G:$G, MATCH('PROJECT NAME NOV'!$B89 &amp; "-" &amp; 'PROJECT NAME NOV'!$C89, Settings!$H:$H, 0)), "")</f>
        <v>900</v>
      </c>
      <c r="BM89" s="20">
        <f t="shared" si="26"/>
        <v>7481.25</v>
      </c>
      <c r="BN89" s="20">
        <f t="shared" si="23"/>
        <v>374.0625</v>
      </c>
      <c r="BO89" s="19">
        <f t="shared" si="16"/>
        <v>7107.1875</v>
      </c>
      <c r="BP89" s="54"/>
      <c r="BQ89" s="21">
        <v>8</v>
      </c>
      <c r="BR89" s="21">
        <v>4</v>
      </c>
      <c r="BS89" s="27">
        <v>8</v>
      </c>
      <c r="BT89" s="27">
        <v>4</v>
      </c>
      <c r="BU89" s="27">
        <v>8</v>
      </c>
      <c r="BV89" s="27">
        <v>0</v>
      </c>
      <c r="BW89" s="27">
        <v>8</v>
      </c>
      <c r="BX89" s="27">
        <v>4</v>
      </c>
      <c r="BY89" s="27">
        <v>0</v>
      </c>
      <c r="BZ89" s="27">
        <v>0</v>
      </c>
      <c r="CA89" s="27">
        <v>0</v>
      </c>
      <c r="CB89" s="27"/>
      <c r="CC89" s="27"/>
      <c r="CD89" s="27"/>
      <c r="CE89" s="8">
        <f t="shared" si="17"/>
        <v>32</v>
      </c>
      <c r="CF89" s="8">
        <f t="shared" si="18"/>
        <v>12</v>
      </c>
      <c r="CG89" s="19">
        <f>IFERROR(INDEX(Settings!$F:$F, MATCH('PROJECT NAME NOV'!$B89 &amp; "-" &amp; 'PROJECT NAME NOV'!$C89, Settings!$H:$H,0)), "")</f>
        <v>112.5</v>
      </c>
      <c r="CH89" s="19">
        <f>IFERROR(INDEX(Settings!$G:$G, MATCH('PROJECT NAME NOV'!$B89 &amp; "-" &amp; 'PROJECT NAME NOV'!$C89, Settings!$H:$H, 0)), "")</f>
        <v>900</v>
      </c>
      <c r="CI89" s="20">
        <f t="shared" si="27"/>
        <v>5625</v>
      </c>
      <c r="CJ89" s="20">
        <f t="shared" si="24"/>
        <v>281.25</v>
      </c>
      <c r="CK89" s="19">
        <f t="shared" si="19"/>
        <v>5343.75</v>
      </c>
      <c r="CM89" s="27"/>
      <c r="CN89" s="27"/>
      <c r="CO89" s="27"/>
      <c r="CP89" s="27"/>
      <c r="CQ89" s="27"/>
      <c r="CR89" s="27"/>
      <c r="CS89" s="8">
        <f t="shared" si="43"/>
        <v>0</v>
      </c>
      <c r="CT89" s="8">
        <f t="shared" si="65"/>
        <v>0</v>
      </c>
      <c r="CU89" s="19">
        <f>IFERROR(INDEX(Settings!$F:$F, MATCH('PROJECT NAME NOV'!$B89 &amp; "-" &amp; 'PROJECT NAME NOV'!$C89, Settings!$H:$H,0)), "")</f>
        <v>112.5</v>
      </c>
      <c r="CV89" s="19">
        <f>IFERROR(INDEX(Settings!$G:$G, MATCH('PROJECT NAME NOV'!$B89 &amp; "-" &amp; 'PROJECT NAME NOV'!$C89, Settings!$H:$H, 0)), "")</f>
        <v>900</v>
      </c>
      <c r="CW89" s="19">
        <f t="shared" si="62"/>
        <v>0</v>
      </c>
      <c r="CX89" s="20">
        <f t="shared" si="21"/>
        <v>0</v>
      </c>
      <c r="CY89" s="19">
        <f t="shared" si="45"/>
        <v>0</v>
      </c>
    </row>
    <row r="90" spans="1:110" x14ac:dyDescent="0.3">
      <c r="B90" s="3" t="s">
        <v>83</v>
      </c>
      <c r="C90" s="1" t="s">
        <v>28</v>
      </c>
      <c r="D90" s="3"/>
      <c r="E90" s="4" t="s">
        <v>91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8">
        <f t="shared" si="63"/>
        <v>0</v>
      </c>
      <c r="S90" s="8">
        <f t="shared" si="64"/>
        <v>0</v>
      </c>
      <c r="T90" s="19">
        <f>IFERROR(INDEX(Settings!$F:$F, MATCH('PROJECT NAME NOV'!$B90 &amp; "-" &amp; 'PROJECT NAME NOV'!$C90, Settings!$H:$H,0)), "")</f>
        <v>112.5</v>
      </c>
      <c r="U90" s="19">
        <f>IFERROR(INDEX(Settings!$G:$G, MATCH('PROJECT NAME NOV'!$B90 &amp; "-" &amp; 'PROJECT NAME NOV'!$C90, Settings!$H:$H, 0)), "")</f>
        <v>900</v>
      </c>
      <c r="V90" s="20">
        <f t="shared" si="25"/>
        <v>0</v>
      </c>
      <c r="W90" s="20">
        <f t="shared" si="22"/>
        <v>0</v>
      </c>
      <c r="X90" s="19">
        <f t="shared" si="8"/>
        <v>0</v>
      </c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44">
        <f>IFERROR(INDEX(Settings!$F:$F, MATCH('PROJECT NAME NOV'!$B90 &amp; "-" &amp; 'PROJECT NAME NOV'!$C90, Settings!$H:$H,0)), "")</f>
        <v>112.5</v>
      </c>
      <c r="AN90" s="44">
        <f>IFERROR(INDEX(Settings!$G:$G, MATCH('PROJECT NAME NOV'!$B90 &amp; "-" &amp; 'PROJECT NAME NOV'!$C90, Settings!$H:$H, 0)), "")</f>
        <v>900</v>
      </c>
      <c r="AO90" s="21">
        <f t="shared" si="9"/>
        <v>0</v>
      </c>
      <c r="AP90" s="21">
        <f t="shared" si="10"/>
        <v>0</v>
      </c>
      <c r="AQ90" s="44">
        <f t="shared" si="11"/>
        <v>0</v>
      </c>
      <c r="AR90" s="44">
        <f t="shared" si="12"/>
        <v>0</v>
      </c>
      <c r="AS90" s="44">
        <f t="shared" si="13"/>
        <v>0</v>
      </c>
      <c r="AT90" s="59"/>
      <c r="AU90" s="21">
        <v>8</v>
      </c>
      <c r="AV90" s="21">
        <v>0</v>
      </c>
      <c r="AW90" s="21">
        <v>8</v>
      </c>
      <c r="AX90" s="21">
        <v>0</v>
      </c>
      <c r="AY90" s="21">
        <v>8</v>
      </c>
      <c r="AZ90" s="21">
        <v>0</v>
      </c>
      <c r="BA90" s="21">
        <v>8</v>
      </c>
      <c r="BB90" s="27">
        <v>3</v>
      </c>
      <c r="BC90" s="27">
        <v>8</v>
      </c>
      <c r="BD90" s="21">
        <v>2</v>
      </c>
      <c r="BE90" s="21">
        <v>8</v>
      </c>
      <c r="BF90" s="27">
        <v>0</v>
      </c>
      <c r="BG90" s="27">
        <v>8</v>
      </c>
      <c r="BH90" s="21">
        <v>2</v>
      </c>
      <c r="BI90" s="8">
        <f t="shared" si="14"/>
        <v>56</v>
      </c>
      <c r="BJ90" s="8">
        <f t="shared" si="15"/>
        <v>7</v>
      </c>
      <c r="BK90" s="19">
        <f>IFERROR(INDEX(Settings!$F:$F, MATCH('PROJECT NAME NOV'!$B90 &amp; "-" &amp; 'PROJECT NAME NOV'!$C90, Settings!$H:$H,0)), "")</f>
        <v>112.5</v>
      </c>
      <c r="BL90" s="19">
        <f>IFERROR(INDEX(Settings!$G:$G, MATCH('PROJECT NAME NOV'!$B90 &amp; "-" &amp; 'PROJECT NAME NOV'!$C90, Settings!$H:$H, 0)), "")</f>
        <v>900</v>
      </c>
      <c r="BM90" s="20">
        <f t="shared" si="26"/>
        <v>7481.25</v>
      </c>
      <c r="BN90" s="20">
        <f t="shared" si="23"/>
        <v>374.0625</v>
      </c>
      <c r="BO90" s="19">
        <f t="shared" si="16"/>
        <v>7107.1875</v>
      </c>
      <c r="BP90" s="54"/>
      <c r="BQ90" s="21">
        <v>8</v>
      </c>
      <c r="BR90" s="21">
        <v>4</v>
      </c>
      <c r="BS90" s="27">
        <v>0</v>
      </c>
      <c r="BT90" s="27">
        <v>0</v>
      </c>
      <c r="BU90" s="27">
        <v>0</v>
      </c>
      <c r="BV90" s="27">
        <v>0</v>
      </c>
      <c r="BW90" s="27">
        <v>8</v>
      </c>
      <c r="BX90" s="27">
        <v>4</v>
      </c>
      <c r="BY90" s="27">
        <v>0</v>
      </c>
      <c r="BZ90" s="27">
        <v>0</v>
      </c>
      <c r="CA90" s="27">
        <v>0</v>
      </c>
      <c r="CB90" s="27"/>
      <c r="CC90" s="27"/>
      <c r="CD90" s="27"/>
      <c r="CE90" s="8">
        <f t="shared" si="17"/>
        <v>16</v>
      </c>
      <c r="CF90" s="8">
        <f t="shared" si="18"/>
        <v>8</v>
      </c>
      <c r="CG90" s="19">
        <f>IFERROR(INDEX(Settings!$F:$F, MATCH('PROJECT NAME NOV'!$B90 &amp; "-" &amp; 'PROJECT NAME NOV'!$C90, Settings!$H:$H,0)), "")</f>
        <v>112.5</v>
      </c>
      <c r="CH90" s="19">
        <f>IFERROR(INDEX(Settings!$G:$G, MATCH('PROJECT NAME NOV'!$B90 &amp; "-" &amp; 'PROJECT NAME NOV'!$C90, Settings!$H:$H, 0)), "")</f>
        <v>900</v>
      </c>
      <c r="CI90" s="20">
        <f t="shared" si="27"/>
        <v>3150</v>
      </c>
      <c r="CJ90" s="20">
        <f t="shared" si="24"/>
        <v>157.5</v>
      </c>
      <c r="CK90" s="19">
        <f t="shared" si="19"/>
        <v>2992.5</v>
      </c>
      <c r="CM90" s="27"/>
      <c r="CN90" s="27"/>
      <c r="CO90" s="27"/>
      <c r="CP90" s="27"/>
      <c r="CQ90" s="27"/>
      <c r="CR90" s="27"/>
      <c r="CS90" s="8">
        <f t="shared" si="43"/>
        <v>0</v>
      </c>
      <c r="CT90" s="8">
        <f t="shared" si="65"/>
        <v>0</v>
      </c>
      <c r="CU90" s="19">
        <f>IFERROR(INDEX(Settings!$F:$F, MATCH('PROJECT NAME NOV'!$B90 &amp; "-" &amp; 'PROJECT NAME NOV'!$C90, Settings!$H:$H,0)), "")</f>
        <v>112.5</v>
      </c>
      <c r="CV90" s="19">
        <f>IFERROR(INDEX(Settings!$G:$G, MATCH('PROJECT NAME NOV'!$B90 &amp; "-" &amp; 'PROJECT NAME NOV'!$C90, Settings!$H:$H, 0)), "")</f>
        <v>900</v>
      </c>
      <c r="CW90" s="19">
        <f t="shared" si="62"/>
        <v>0</v>
      </c>
      <c r="CX90" s="20">
        <f t="shared" si="21"/>
        <v>0</v>
      </c>
      <c r="CY90" s="19">
        <f t="shared" si="45"/>
        <v>0</v>
      </c>
    </row>
    <row r="91" spans="1:110" x14ac:dyDescent="0.3">
      <c r="B91" s="3" t="s">
        <v>83</v>
      </c>
      <c r="C91" s="1" t="s">
        <v>28</v>
      </c>
      <c r="D91" s="3"/>
      <c r="E91" s="4" t="s">
        <v>92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8">
        <f t="shared" si="63"/>
        <v>0</v>
      </c>
      <c r="S91" s="8">
        <f t="shared" si="64"/>
        <v>0</v>
      </c>
      <c r="T91" s="19">
        <f>IFERROR(INDEX(Settings!$F:$F, MATCH('PROJECT NAME NOV'!$B91 &amp; "-" &amp; 'PROJECT NAME NOV'!$C91, Settings!$H:$H,0)), "")</f>
        <v>112.5</v>
      </c>
      <c r="U91" s="19">
        <f>IFERROR(INDEX(Settings!$G:$G, MATCH('PROJECT NAME NOV'!$B91 &amp; "-" &amp; 'PROJECT NAME NOV'!$C91, Settings!$H:$H, 0)), "")</f>
        <v>900</v>
      </c>
      <c r="V91" s="20">
        <f t="shared" si="25"/>
        <v>0</v>
      </c>
      <c r="W91" s="20">
        <f t="shared" si="22"/>
        <v>0</v>
      </c>
      <c r="X91" s="19">
        <f t="shared" si="8"/>
        <v>0</v>
      </c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44">
        <f>IFERROR(INDEX(Settings!$F:$F, MATCH('PROJECT NAME NOV'!$B91 &amp; "-" &amp; 'PROJECT NAME NOV'!$C91, Settings!$H:$H,0)), "")</f>
        <v>112.5</v>
      </c>
      <c r="AN91" s="44">
        <f>IFERROR(INDEX(Settings!$G:$G, MATCH('PROJECT NAME NOV'!$B91 &amp; "-" &amp; 'PROJECT NAME NOV'!$C91, Settings!$H:$H, 0)), "")</f>
        <v>900</v>
      </c>
      <c r="AO91" s="21">
        <f t="shared" si="9"/>
        <v>0</v>
      </c>
      <c r="AP91" s="21">
        <f t="shared" si="10"/>
        <v>0</v>
      </c>
      <c r="AQ91" s="44">
        <f t="shared" si="11"/>
        <v>0</v>
      </c>
      <c r="AR91" s="44">
        <f t="shared" si="12"/>
        <v>0</v>
      </c>
      <c r="AS91" s="44">
        <f t="shared" si="13"/>
        <v>0</v>
      </c>
      <c r="AT91" s="59"/>
      <c r="AU91" s="21">
        <v>8</v>
      </c>
      <c r="AV91" s="21">
        <v>0</v>
      </c>
      <c r="AW91" s="21">
        <v>8</v>
      </c>
      <c r="AX91" s="21">
        <v>0</v>
      </c>
      <c r="AY91" s="21">
        <v>8</v>
      </c>
      <c r="AZ91" s="21">
        <v>0</v>
      </c>
      <c r="BA91" s="21">
        <v>8</v>
      </c>
      <c r="BB91" s="27">
        <v>3</v>
      </c>
      <c r="BC91" s="27">
        <v>8</v>
      </c>
      <c r="BD91" s="21">
        <v>2</v>
      </c>
      <c r="BE91" s="21">
        <v>8</v>
      </c>
      <c r="BF91" s="27">
        <v>0</v>
      </c>
      <c r="BG91" s="27">
        <v>8</v>
      </c>
      <c r="BH91" s="21">
        <v>2</v>
      </c>
      <c r="BI91" s="8">
        <f t="shared" si="14"/>
        <v>56</v>
      </c>
      <c r="BJ91" s="8">
        <f t="shared" si="15"/>
        <v>7</v>
      </c>
      <c r="BK91" s="19">
        <f>IFERROR(INDEX(Settings!$F:$F, MATCH('PROJECT NAME NOV'!$B91 &amp; "-" &amp; 'PROJECT NAME NOV'!$C91, Settings!$H:$H,0)), "")</f>
        <v>112.5</v>
      </c>
      <c r="BL91" s="19">
        <f>IFERROR(INDEX(Settings!$G:$G, MATCH('PROJECT NAME NOV'!$B91 &amp; "-" &amp; 'PROJECT NAME NOV'!$C91, Settings!$H:$H, 0)), "")</f>
        <v>900</v>
      </c>
      <c r="BM91" s="20">
        <f t="shared" si="26"/>
        <v>7481.25</v>
      </c>
      <c r="BN91" s="20">
        <f t="shared" si="23"/>
        <v>374.0625</v>
      </c>
      <c r="BO91" s="19">
        <f t="shared" si="16"/>
        <v>7107.1875</v>
      </c>
      <c r="BP91" s="54"/>
      <c r="BQ91" s="21">
        <v>8</v>
      </c>
      <c r="BR91" s="21">
        <v>4</v>
      </c>
      <c r="BS91" s="27">
        <v>8</v>
      </c>
      <c r="BT91" s="27">
        <v>4</v>
      </c>
      <c r="BU91" s="27">
        <v>8</v>
      </c>
      <c r="BV91" s="27">
        <v>0</v>
      </c>
      <c r="BW91" s="27">
        <v>8</v>
      </c>
      <c r="BX91" s="27">
        <v>4</v>
      </c>
      <c r="BY91" s="27">
        <v>0</v>
      </c>
      <c r="BZ91" s="27">
        <v>0</v>
      </c>
      <c r="CA91" s="27">
        <v>0</v>
      </c>
      <c r="CB91" s="27"/>
      <c r="CC91" s="27"/>
      <c r="CD91" s="27"/>
      <c r="CE91" s="8">
        <f t="shared" si="17"/>
        <v>32</v>
      </c>
      <c r="CF91" s="8">
        <f t="shared" si="18"/>
        <v>12</v>
      </c>
      <c r="CG91" s="19">
        <f>IFERROR(INDEX(Settings!$F:$F, MATCH('PROJECT NAME NOV'!$B91 &amp; "-" &amp; 'PROJECT NAME NOV'!$C91, Settings!$H:$H,0)), "")</f>
        <v>112.5</v>
      </c>
      <c r="CH91" s="19">
        <f>IFERROR(INDEX(Settings!$G:$G, MATCH('PROJECT NAME NOV'!$B91 &amp; "-" &amp; 'PROJECT NAME NOV'!$C91, Settings!$H:$H, 0)), "")</f>
        <v>900</v>
      </c>
      <c r="CI91" s="20">
        <f t="shared" si="27"/>
        <v>5625</v>
      </c>
      <c r="CJ91" s="20">
        <f t="shared" si="24"/>
        <v>281.25</v>
      </c>
      <c r="CK91" s="19">
        <f t="shared" si="19"/>
        <v>5343.75</v>
      </c>
      <c r="CM91" s="27"/>
      <c r="CN91" s="27"/>
      <c r="CO91" s="27"/>
      <c r="CP91" s="27"/>
      <c r="CQ91" s="27"/>
      <c r="CR91" s="27"/>
      <c r="CS91" s="8">
        <f t="shared" si="43"/>
        <v>0</v>
      </c>
      <c r="CT91" s="8">
        <f t="shared" si="65"/>
        <v>0</v>
      </c>
      <c r="CU91" s="19">
        <f>IFERROR(INDEX(Settings!$F:$F, MATCH('PROJECT NAME NOV'!$B91 &amp; "-" &amp; 'PROJECT NAME NOV'!$C91, Settings!$H:$H,0)), "")</f>
        <v>112.5</v>
      </c>
      <c r="CV91" s="19">
        <f>IFERROR(INDEX(Settings!$G:$G, MATCH('PROJECT NAME NOV'!$B91 &amp; "-" &amp; 'PROJECT NAME NOV'!$C91, Settings!$H:$H, 0)), "")</f>
        <v>900</v>
      </c>
      <c r="CW91" s="19">
        <f t="shared" si="62"/>
        <v>0</v>
      </c>
      <c r="CX91" s="20">
        <f t="shared" si="21"/>
        <v>0</v>
      </c>
      <c r="CY91" s="19">
        <f t="shared" si="45"/>
        <v>0</v>
      </c>
    </row>
    <row r="92" spans="1:110" x14ac:dyDescent="0.3">
      <c r="B92" s="3" t="s">
        <v>83</v>
      </c>
      <c r="C92" s="1" t="s">
        <v>28</v>
      </c>
      <c r="D92" s="3"/>
      <c r="E92" s="4" t="s">
        <v>95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8">
        <f t="shared" si="63"/>
        <v>0</v>
      </c>
      <c r="S92" s="8">
        <f t="shared" si="64"/>
        <v>0</v>
      </c>
      <c r="T92" s="19">
        <f>IFERROR(INDEX(Settings!$F:$F, MATCH('PROJECT NAME NOV'!$B92 &amp; "-" &amp; 'PROJECT NAME NOV'!$C92, Settings!$H:$H,0)), "")</f>
        <v>112.5</v>
      </c>
      <c r="U92" s="19">
        <f>IFERROR(INDEX(Settings!$G:$G, MATCH('PROJECT NAME NOV'!$B92 &amp; "-" &amp; 'PROJECT NAME NOV'!$C92, Settings!$H:$H, 0)), "")</f>
        <v>900</v>
      </c>
      <c r="V92" s="20">
        <f t="shared" si="25"/>
        <v>0</v>
      </c>
      <c r="W92" s="20">
        <f t="shared" si="22"/>
        <v>0</v>
      </c>
      <c r="X92" s="19">
        <f t="shared" si="8"/>
        <v>0</v>
      </c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44">
        <f>IFERROR(INDEX(Settings!$F:$F, MATCH('PROJECT NAME NOV'!$B92 &amp; "-" &amp; 'PROJECT NAME NOV'!$C92, Settings!$H:$H,0)), "")</f>
        <v>112.5</v>
      </c>
      <c r="AN92" s="44">
        <f>IFERROR(INDEX(Settings!$G:$G, MATCH('PROJECT NAME NOV'!$B92 &amp; "-" &amp; 'PROJECT NAME NOV'!$C92, Settings!$H:$H, 0)), "")</f>
        <v>900</v>
      </c>
      <c r="AO92" s="21">
        <f t="shared" si="9"/>
        <v>0</v>
      </c>
      <c r="AP92" s="21">
        <f t="shared" si="10"/>
        <v>0</v>
      </c>
      <c r="AQ92" s="44">
        <f t="shared" si="11"/>
        <v>0</v>
      </c>
      <c r="AR92" s="44">
        <f t="shared" si="12"/>
        <v>0</v>
      </c>
      <c r="AS92" s="44">
        <f t="shared" si="13"/>
        <v>0</v>
      </c>
      <c r="AT92" s="59"/>
      <c r="AU92" s="21">
        <v>8</v>
      </c>
      <c r="AV92" s="21">
        <v>0</v>
      </c>
      <c r="AW92" s="21">
        <v>8</v>
      </c>
      <c r="AX92" s="21">
        <v>0</v>
      </c>
      <c r="AY92" s="21">
        <v>8</v>
      </c>
      <c r="AZ92" s="21">
        <v>0</v>
      </c>
      <c r="BA92" s="21">
        <v>0</v>
      </c>
      <c r="BB92" s="27">
        <v>0</v>
      </c>
      <c r="BC92" s="27">
        <v>8</v>
      </c>
      <c r="BD92" s="21">
        <v>2</v>
      </c>
      <c r="BE92" s="21">
        <v>0</v>
      </c>
      <c r="BF92" s="27">
        <v>0</v>
      </c>
      <c r="BG92" s="27">
        <v>8</v>
      </c>
      <c r="BH92" s="21">
        <v>2</v>
      </c>
      <c r="BI92" s="8">
        <f t="shared" si="14"/>
        <v>40</v>
      </c>
      <c r="BJ92" s="8">
        <f t="shared" si="15"/>
        <v>4</v>
      </c>
      <c r="BK92" s="19">
        <f>IFERROR(INDEX(Settings!$F:$F, MATCH('PROJECT NAME NOV'!$B92 &amp; "-" &amp; 'PROJECT NAME NOV'!$C92, Settings!$H:$H,0)), "")</f>
        <v>112.5</v>
      </c>
      <c r="BL92" s="19">
        <f>IFERROR(INDEX(Settings!$G:$G, MATCH('PROJECT NAME NOV'!$B92 &amp; "-" &amp; 'PROJECT NAME NOV'!$C92, Settings!$H:$H, 0)), "")</f>
        <v>900</v>
      </c>
      <c r="BM92" s="20">
        <f t="shared" si="26"/>
        <v>5175</v>
      </c>
      <c r="BN92" s="20">
        <f t="shared" si="23"/>
        <v>258.75</v>
      </c>
      <c r="BO92" s="19">
        <f t="shared" si="16"/>
        <v>4916.25</v>
      </c>
      <c r="BP92" s="54"/>
      <c r="BQ92" s="21">
        <v>8</v>
      </c>
      <c r="BR92" s="21">
        <v>4</v>
      </c>
      <c r="BS92" s="27">
        <v>8</v>
      </c>
      <c r="BT92" s="27">
        <v>4</v>
      </c>
      <c r="BU92" s="27">
        <v>8</v>
      </c>
      <c r="BV92" s="27">
        <v>0</v>
      </c>
      <c r="BW92" s="27">
        <v>8</v>
      </c>
      <c r="BX92" s="27">
        <v>4</v>
      </c>
      <c r="BY92" s="27">
        <v>0</v>
      </c>
      <c r="BZ92" s="27">
        <v>0</v>
      </c>
      <c r="CA92" s="27">
        <v>0</v>
      </c>
      <c r="CB92" s="27"/>
      <c r="CC92" s="27"/>
      <c r="CD92" s="27"/>
      <c r="CE92" s="8">
        <f t="shared" si="17"/>
        <v>32</v>
      </c>
      <c r="CF92" s="8">
        <f t="shared" si="18"/>
        <v>12</v>
      </c>
      <c r="CG92" s="19">
        <f>IFERROR(INDEX(Settings!$F:$F, MATCH('PROJECT NAME NOV'!$B92 &amp; "-" &amp; 'PROJECT NAME NOV'!$C92, Settings!$H:$H,0)), "")</f>
        <v>112.5</v>
      </c>
      <c r="CH92" s="19">
        <f>IFERROR(INDEX(Settings!$G:$G, MATCH('PROJECT NAME NOV'!$B92 &amp; "-" &amp; 'PROJECT NAME NOV'!$C92, Settings!$H:$H, 0)), "")</f>
        <v>900</v>
      </c>
      <c r="CI92" s="20">
        <f t="shared" si="27"/>
        <v>5625</v>
      </c>
      <c r="CJ92" s="20">
        <f t="shared" si="24"/>
        <v>281.25</v>
      </c>
      <c r="CK92" s="19">
        <f t="shared" si="19"/>
        <v>5343.75</v>
      </c>
      <c r="CM92" s="27"/>
      <c r="CN92" s="27"/>
      <c r="CO92" s="27"/>
      <c r="CP92" s="27"/>
      <c r="CQ92" s="27"/>
      <c r="CR92" s="27"/>
      <c r="CS92" s="8">
        <f t="shared" si="43"/>
        <v>0</v>
      </c>
      <c r="CT92" s="8">
        <f t="shared" si="65"/>
        <v>0</v>
      </c>
      <c r="CU92" s="19">
        <f>IFERROR(INDEX(Settings!$F:$F, MATCH('PROJECT NAME NOV'!$B92 &amp; "-" &amp; 'PROJECT NAME NOV'!$C92, Settings!$H:$H,0)), "")</f>
        <v>112.5</v>
      </c>
      <c r="CV92" s="19">
        <f>IFERROR(INDEX(Settings!$G:$G, MATCH('PROJECT NAME NOV'!$B92 &amp; "-" &amp; 'PROJECT NAME NOV'!$C92, Settings!$H:$H, 0)), "")</f>
        <v>900</v>
      </c>
      <c r="CW92" s="19">
        <f t="shared" si="62"/>
        <v>0</v>
      </c>
      <c r="CX92" s="20">
        <f t="shared" si="21"/>
        <v>0</v>
      </c>
      <c r="CY92" s="19">
        <f t="shared" si="45"/>
        <v>0</v>
      </c>
    </row>
    <row r="93" spans="1:110" x14ac:dyDescent="0.3">
      <c r="B93" s="3" t="s">
        <v>83</v>
      </c>
      <c r="C93" s="1" t="s">
        <v>28</v>
      </c>
      <c r="D93" s="3"/>
      <c r="E93" s="4" t="s">
        <v>93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8">
        <f t="shared" si="63"/>
        <v>0</v>
      </c>
      <c r="S93" s="8">
        <f t="shared" si="64"/>
        <v>0</v>
      </c>
      <c r="T93" s="19">
        <f>IFERROR(INDEX(Settings!$F:$F, MATCH('PROJECT NAME NOV'!$B93 &amp; "-" &amp; 'PROJECT NAME NOV'!$C93, Settings!$H:$H,0)), "")</f>
        <v>112.5</v>
      </c>
      <c r="U93" s="19">
        <f>IFERROR(INDEX(Settings!$G:$G, MATCH('PROJECT NAME NOV'!$B93 &amp; "-" &amp; 'PROJECT NAME NOV'!$C93, Settings!$H:$H, 0)), "")</f>
        <v>900</v>
      </c>
      <c r="V93" s="20">
        <f t="shared" si="25"/>
        <v>0</v>
      </c>
      <c r="W93" s="20">
        <f t="shared" si="22"/>
        <v>0</v>
      </c>
      <c r="X93" s="19">
        <f t="shared" si="8"/>
        <v>0</v>
      </c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44">
        <f>IFERROR(INDEX(Settings!$F:$F, MATCH('PROJECT NAME NOV'!$B93 &amp; "-" &amp; 'PROJECT NAME NOV'!$C93, Settings!$H:$H,0)), "")</f>
        <v>112.5</v>
      </c>
      <c r="AN93" s="44">
        <f>IFERROR(INDEX(Settings!$G:$G, MATCH('PROJECT NAME NOV'!$B93 &amp; "-" &amp; 'PROJECT NAME NOV'!$C93, Settings!$H:$H, 0)), "")</f>
        <v>900</v>
      </c>
      <c r="AO93" s="21">
        <f t="shared" si="9"/>
        <v>0</v>
      </c>
      <c r="AP93" s="21">
        <f t="shared" si="10"/>
        <v>0</v>
      </c>
      <c r="AQ93" s="44">
        <f t="shared" si="11"/>
        <v>0</v>
      </c>
      <c r="AR93" s="44">
        <f t="shared" si="12"/>
        <v>0</v>
      </c>
      <c r="AS93" s="44">
        <f t="shared" si="13"/>
        <v>0</v>
      </c>
      <c r="AT93" s="59"/>
      <c r="AU93" s="21">
        <v>8</v>
      </c>
      <c r="AV93" s="21">
        <v>0</v>
      </c>
      <c r="AW93" s="21">
        <v>8</v>
      </c>
      <c r="AX93" s="21">
        <v>0</v>
      </c>
      <c r="AY93" s="21">
        <v>8</v>
      </c>
      <c r="AZ93" s="21">
        <v>0</v>
      </c>
      <c r="BA93" s="21">
        <v>8</v>
      </c>
      <c r="BB93" s="27">
        <v>3</v>
      </c>
      <c r="BC93" s="27">
        <v>8</v>
      </c>
      <c r="BD93" s="21">
        <v>2</v>
      </c>
      <c r="BE93" s="21">
        <v>8</v>
      </c>
      <c r="BF93" s="27">
        <v>0</v>
      </c>
      <c r="BG93" s="27">
        <v>0</v>
      </c>
      <c r="BH93" s="21">
        <v>2</v>
      </c>
      <c r="BI93" s="8">
        <f t="shared" si="14"/>
        <v>48</v>
      </c>
      <c r="BJ93" s="8">
        <f t="shared" si="15"/>
        <v>7</v>
      </c>
      <c r="BK93" s="19">
        <f>IFERROR(INDEX(Settings!$F:$F, MATCH('PROJECT NAME NOV'!$B93 &amp; "-" &amp; 'PROJECT NAME NOV'!$C93, Settings!$H:$H,0)), "")</f>
        <v>112.5</v>
      </c>
      <c r="BL93" s="19">
        <f>IFERROR(INDEX(Settings!$G:$G, MATCH('PROJECT NAME NOV'!$B93 &amp; "-" &amp; 'PROJECT NAME NOV'!$C93, Settings!$H:$H, 0)), "")</f>
        <v>900</v>
      </c>
      <c r="BM93" s="20">
        <f t="shared" si="26"/>
        <v>6581.25</v>
      </c>
      <c r="BN93" s="20">
        <f t="shared" si="23"/>
        <v>329.0625</v>
      </c>
      <c r="BO93" s="19">
        <f t="shared" si="16"/>
        <v>6252.1875</v>
      </c>
      <c r="BP93" s="54"/>
      <c r="BQ93" s="21">
        <v>8</v>
      </c>
      <c r="BR93" s="21">
        <v>4</v>
      </c>
      <c r="BS93" s="27">
        <v>8</v>
      </c>
      <c r="BT93" s="27">
        <v>4</v>
      </c>
      <c r="BU93" s="27">
        <v>8</v>
      </c>
      <c r="BV93" s="27">
        <v>0</v>
      </c>
      <c r="BW93" s="27">
        <v>0</v>
      </c>
      <c r="BX93" s="27">
        <v>0</v>
      </c>
      <c r="BY93" s="27">
        <v>0</v>
      </c>
      <c r="BZ93" s="27">
        <v>0</v>
      </c>
      <c r="CA93" s="27">
        <v>0</v>
      </c>
      <c r="CB93" s="27"/>
      <c r="CC93" s="27"/>
      <c r="CD93" s="27"/>
      <c r="CE93" s="8">
        <f t="shared" si="17"/>
        <v>24</v>
      </c>
      <c r="CF93" s="8">
        <f t="shared" si="18"/>
        <v>8</v>
      </c>
      <c r="CG93" s="19">
        <f>IFERROR(INDEX(Settings!$F:$F, MATCH('PROJECT NAME NOV'!$B93 &amp; "-" &amp; 'PROJECT NAME NOV'!$C93, Settings!$H:$H,0)), "")</f>
        <v>112.5</v>
      </c>
      <c r="CH93" s="19">
        <f>IFERROR(INDEX(Settings!$G:$G, MATCH('PROJECT NAME NOV'!$B93 &amp; "-" &amp; 'PROJECT NAME NOV'!$C93, Settings!$H:$H, 0)), "")</f>
        <v>900</v>
      </c>
      <c r="CI93" s="20">
        <f t="shared" si="27"/>
        <v>4050</v>
      </c>
      <c r="CJ93" s="20">
        <f t="shared" si="24"/>
        <v>202.5</v>
      </c>
      <c r="CK93" s="19">
        <f t="shared" si="19"/>
        <v>3847.5</v>
      </c>
      <c r="CM93" s="27"/>
      <c r="CN93" s="27"/>
      <c r="CO93" s="27"/>
      <c r="CP93" s="27"/>
      <c r="CQ93" s="27"/>
      <c r="CR93" s="27"/>
      <c r="CS93" s="8">
        <f t="shared" si="43"/>
        <v>0</v>
      </c>
      <c r="CT93" s="8">
        <f t="shared" si="65"/>
        <v>0</v>
      </c>
      <c r="CU93" s="19">
        <f>IFERROR(INDEX(Settings!$F:$F, MATCH('PROJECT NAME NOV'!$B93 &amp; "-" &amp; 'PROJECT NAME NOV'!$C93, Settings!$H:$H,0)), "")</f>
        <v>112.5</v>
      </c>
      <c r="CV93" s="19">
        <f>IFERROR(INDEX(Settings!$G:$G, MATCH('PROJECT NAME NOV'!$B93 &amp; "-" &amp; 'PROJECT NAME NOV'!$C93, Settings!$H:$H, 0)), "")</f>
        <v>900</v>
      </c>
      <c r="CW93" s="19">
        <f t="shared" si="62"/>
        <v>0</v>
      </c>
      <c r="CX93" s="20">
        <f t="shared" si="21"/>
        <v>0</v>
      </c>
      <c r="CY93" s="19">
        <f t="shared" si="45"/>
        <v>0</v>
      </c>
    </row>
    <row r="94" spans="1:110" x14ac:dyDescent="0.3">
      <c r="B94" s="3" t="s">
        <v>83</v>
      </c>
      <c r="C94" s="1" t="s">
        <v>29</v>
      </c>
      <c r="D94" s="3"/>
      <c r="E94" s="4" t="s">
        <v>94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8">
        <f t="shared" si="63"/>
        <v>0</v>
      </c>
      <c r="S94" s="8">
        <f t="shared" si="64"/>
        <v>0</v>
      </c>
      <c r="T94" s="19">
        <f>IFERROR(INDEX(Settings!$F:$F, MATCH('PROJECT NAME NOV'!$B94 &amp; "-" &amp; 'PROJECT NAME NOV'!$C94, Settings!$H:$H,0)), "")</f>
        <v>106.25</v>
      </c>
      <c r="U94" s="19">
        <f>IFERROR(INDEX(Settings!$G:$G, MATCH('PROJECT NAME NOV'!$B94 &amp; "-" &amp; 'PROJECT NAME NOV'!$C94, Settings!$H:$H, 0)), "")</f>
        <v>850</v>
      </c>
      <c r="V94" s="20">
        <f t="shared" si="25"/>
        <v>0</v>
      </c>
      <c r="W94" s="20">
        <f t="shared" si="22"/>
        <v>0</v>
      </c>
      <c r="X94" s="19">
        <f t="shared" si="8"/>
        <v>0</v>
      </c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44">
        <f>IFERROR(INDEX(Settings!$F:$F, MATCH('PROJECT NAME NOV'!$B94 &amp; "-" &amp; 'PROJECT NAME NOV'!$C94, Settings!$H:$H,0)), "")</f>
        <v>106.25</v>
      </c>
      <c r="AN94" s="44">
        <f>IFERROR(INDEX(Settings!$G:$G, MATCH('PROJECT NAME NOV'!$B94 &amp; "-" &amp; 'PROJECT NAME NOV'!$C94, Settings!$H:$H, 0)), "")</f>
        <v>850</v>
      </c>
      <c r="AO94" s="21">
        <f t="shared" si="9"/>
        <v>0</v>
      </c>
      <c r="AP94" s="21">
        <f t="shared" si="10"/>
        <v>0</v>
      </c>
      <c r="AQ94" s="44">
        <f t="shared" si="11"/>
        <v>0</v>
      </c>
      <c r="AR94" s="44">
        <f t="shared" si="12"/>
        <v>0</v>
      </c>
      <c r="AS94" s="44">
        <f t="shared" si="13"/>
        <v>0</v>
      </c>
      <c r="AT94" s="59"/>
      <c r="AU94" s="21">
        <v>8</v>
      </c>
      <c r="AV94" s="21">
        <v>0</v>
      </c>
      <c r="AW94" s="21">
        <v>8</v>
      </c>
      <c r="AX94" s="21">
        <v>0</v>
      </c>
      <c r="AY94" s="21">
        <v>8</v>
      </c>
      <c r="AZ94" s="21">
        <v>0</v>
      </c>
      <c r="BA94" s="21">
        <v>8</v>
      </c>
      <c r="BB94" s="27">
        <v>3</v>
      </c>
      <c r="BC94" s="27">
        <v>0</v>
      </c>
      <c r="BD94" s="21">
        <v>0</v>
      </c>
      <c r="BE94" s="21">
        <v>0</v>
      </c>
      <c r="BF94" s="27">
        <v>0</v>
      </c>
      <c r="BG94" s="27">
        <v>0</v>
      </c>
      <c r="BH94" s="21">
        <v>0</v>
      </c>
      <c r="BI94" s="8">
        <f t="shared" si="14"/>
        <v>32</v>
      </c>
      <c r="BJ94" s="8">
        <f t="shared" si="15"/>
        <v>3</v>
      </c>
      <c r="BK94" s="19">
        <f>IFERROR(INDEX(Settings!$F:$F, MATCH('PROJECT NAME NOV'!$B94 &amp; "-" &amp; 'PROJECT NAME NOV'!$C94, Settings!$H:$H,0)), "")</f>
        <v>106.25</v>
      </c>
      <c r="BL94" s="19">
        <f>IFERROR(INDEX(Settings!$G:$G, MATCH('PROJECT NAME NOV'!$B94 &amp; "-" &amp; 'PROJECT NAME NOV'!$C94, Settings!$H:$H, 0)), "")</f>
        <v>850</v>
      </c>
      <c r="BM94" s="20">
        <f t="shared" si="26"/>
        <v>3878.125</v>
      </c>
      <c r="BN94" s="20">
        <f t="shared" si="23"/>
        <v>193.90625</v>
      </c>
      <c r="BO94" s="19">
        <f t="shared" si="16"/>
        <v>3684.21875</v>
      </c>
      <c r="BP94" s="54"/>
      <c r="BQ94" s="21">
        <v>8</v>
      </c>
      <c r="BR94" s="21">
        <v>4</v>
      </c>
      <c r="BS94" s="27">
        <v>8</v>
      </c>
      <c r="BT94" s="27">
        <v>4</v>
      </c>
      <c r="BU94" s="27">
        <v>0</v>
      </c>
      <c r="BV94" s="27">
        <v>0</v>
      </c>
      <c r="BW94" s="27">
        <v>0</v>
      </c>
      <c r="BX94" s="27">
        <v>0</v>
      </c>
      <c r="BY94" s="27">
        <v>0</v>
      </c>
      <c r="BZ94" s="27">
        <v>0</v>
      </c>
      <c r="CA94" s="27">
        <v>0</v>
      </c>
      <c r="CB94" s="27"/>
      <c r="CC94" s="27"/>
      <c r="CD94" s="27"/>
      <c r="CE94" s="8">
        <f t="shared" si="17"/>
        <v>16</v>
      </c>
      <c r="CF94" s="8">
        <f t="shared" si="18"/>
        <v>8</v>
      </c>
      <c r="CG94" s="19">
        <f>IFERROR(INDEX(Settings!$F:$F, MATCH('PROJECT NAME NOV'!$B94 &amp; "-" &amp; 'PROJECT NAME NOV'!$C94, Settings!$H:$H,0)), "")</f>
        <v>106.25</v>
      </c>
      <c r="CH94" s="19">
        <f>IFERROR(INDEX(Settings!$G:$G, MATCH('PROJECT NAME NOV'!$B94 &amp; "-" &amp; 'PROJECT NAME NOV'!$C94, Settings!$H:$H, 0)), "")</f>
        <v>850</v>
      </c>
      <c r="CI94" s="20">
        <f t="shared" si="27"/>
        <v>2975</v>
      </c>
      <c r="CJ94" s="20">
        <f t="shared" si="24"/>
        <v>148.75</v>
      </c>
      <c r="CK94" s="19">
        <f t="shared" si="19"/>
        <v>2826.25</v>
      </c>
      <c r="CM94" s="27"/>
      <c r="CN94" s="27"/>
      <c r="CO94" s="27"/>
      <c r="CP94" s="27"/>
      <c r="CQ94" s="27"/>
      <c r="CR94" s="27"/>
      <c r="CS94" s="8">
        <f t="shared" si="43"/>
        <v>0</v>
      </c>
      <c r="CT94" s="8">
        <f t="shared" si="65"/>
        <v>0</v>
      </c>
      <c r="CU94" s="19">
        <f>IFERROR(INDEX(Settings!$F:$F, MATCH('PROJECT NAME NOV'!$B94 &amp; "-" &amp; 'PROJECT NAME NOV'!$C94, Settings!$H:$H,0)), "")</f>
        <v>106.25</v>
      </c>
      <c r="CV94" s="19">
        <f>IFERROR(INDEX(Settings!$G:$G, MATCH('PROJECT NAME NOV'!$B94 &amp; "-" &amp; 'PROJECT NAME NOV'!$C94, Settings!$H:$H, 0)), "")</f>
        <v>850</v>
      </c>
      <c r="CW94" s="19">
        <f t="shared" si="62"/>
        <v>0</v>
      </c>
      <c r="CX94" s="20">
        <f t="shared" si="21"/>
        <v>0</v>
      </c>
      <c r="CY94" s="19">
        <f t="shared" si="45"/>
        <v>0</v>
      </c>
    </row>
    <row r="95" spans="1:110" x14ac:dyDescent="0.3">
      <c r="B95" s="3" t="s">
        <v>83</v>
      </c>
      <c r="C95" s="1" t="s">
        <v>29</v>
      </c>
      <c r="D95" s="3"/>
      <c r="E95" s="3" t="s">
        <v>130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8">
        <f t="shared" si="63"/>
        <v>0</v>
      </c>
      <c r="S95" s="8">
        <f t="shared" si="64"/>
        <v>0</v>
      </c>
      <c r="T95" s="19">
        <f>IFERROR(INDEX(Settings!$F:$F, MATCH('PROJECT NAME NOV'!$B95 &amp; "-" &amp; 'PROJECT NAME NOV'!$C95, Settings!$H:$H,0)), "")</f>
        <v>106.25</v>
      </c>
      <c r="U95" s="19">
        <f>IFERROR(INDEX(Settings!$G:$G, MATCH('PROJECT NAME NOV'!$B95 &amp; "-" &amp; 'PROJECT NAME NOV'!$C95, Settings!$H:$H, 0)), "")</f>
        <v>850</v>
      </c>
      <c r="V95" s="20">
        <f t="shared" si="25"/>
        <v>0</v>
      </c>
      <c r="W95" s="20">
        <f t="shared" si="22"/>
        <v>0</v>
      </c>
      <c r="X95" s="19">
        <f t="shared" si="8"/>
        <v>0</v>
      </c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44">
        <f>IFERROR(INDEX(Settings!$F:$F, MATCH('PROJECT NAME NOV'!$B95 &amp; "-" &amp; 'PROJECT NAME NOV'!$C95, Settings!$H:$H,0)), "")</f>
        <v>106.25</v>
      </c>
      <c r="AN95" s="44">
        <f>IFERROR(INDEX(Settings!$G:$G, MATCH('PROJECT NAME NOV'!$B95 &amp; "-" &amp; 'PROJECT NAME NOV'!$C95, Settings!$H:$H, 0)), "")</f>
        <v>850</v>
      </c>
      <c r="AO95" s="21">
        <f t="shared" si="9"/>
        <v>0</v>
      </c>
      <c r="AP95" s="21">
        <f t="shared" si="10"/>
        <v>0</v>
      </c>
      <c r="AQ95" s="44">
        <f t="shared" si="11"/>
        <v>0</v>
      </c>
      <c r="AR95" s="44">
        <f t="shared" si="12"/>
        <v>0</v>
      </c>
      <c r="AS95" s="44">
        <f t="shared" si="13"/>
        <v>0</v>
      </c>
      <c r="AT95" s="59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8">
        <f t="shared" si="14"/>
        <v>0</v>
      </c>
      <c r="BJ95" s="8">
        <f t="shared" si="15"/>
        <v>0</v>
      </c>
      <c r="BK95" s="19">
        <f>IFERROR(INDEX(Settings!$F:$F, MATCH('PROJECT NAME NOV'!$B95 &amp; "-" &amp; 'PROJECT NAME NOV'!$C95, Settings!$H:$H,0)), "")</f>
        <v>106.25</v>
      </c>
      <c r="BL95" s="19">
        <f>IFERROR(INDEX(Settings!$G:$G, MATCH('PROJECT NAME NOV'!$B95 &amp; "-" &amp; 'PROJECT NAME NOV'!$C95, Settings!$H:$H, 0)), "")</f>
        <v>850</v>
      </c>
      <c r="BM95" s="20">
        <f t="shared" si="26"/>
        <v>0</v>
      </c>
      <c r="BN95" s="20">
        <f t="shared" si="23"/>
        <v>0</v>
      </c>
      <c r="BO95" s="19">
        <f t="shared" si="16"/>
        <v>0</v>
      </c>
      <c r="BP95" s="54"/>
      <c r="BQ95" s="21">
        <v>8</v>
      </c>
      <c r="BR95" s="21">
        <v>4</v>
      </c>
      <c r="BS95" s="27">
        <v>8</v>
      </c>
      <c r="BT95" s="27">
        <v>4</v>
      </c>
      <c r="BU95" s="27">
        <v>8</v>
      </c>
      <c r="BV95" s="27">
        <v>0</v>
      </c>
      <c r="BW95" s="27">
        <v>0</v>
      </c>
      <c r="BX95" s="27">
        <v>0</v>
      </c>
      <c r="BY95" s="27">
        <v>0</v>
      </c>
      <c r="BZ95" s="27">
        <v>0</v>
      </c>
      <c r="CA95" s="27">
        <v>0</v>
      </c>
      <c r="CB95" s="27"/>
      <c r="CC95" s="27"/>
      <c r="CD95" s="27"/>
      <c r="CE95" s="8">
        <f t="shared" si="17"/>
        <v>24</v>
      </c>
      <c r="CF95" s="8">
        <f t="shared" si="18"/>
        <v>8</v>
      </c>
      <c r="CG95" s="19">
        <f>IFERROR(INDEX(Settings!$F:$F, MATCH('PROJECT NAME NOV'!$B95 &amp; "-" &amp; 'PROJECT NAME NOV'!$C95, Settings!$H:$H,0)), "")</f>
        <v>106.25</v>
      </c>
      <c r="CH95" s="19">
        <f>IFERROR(INDEX(Settings!$G:$G, MATCH('PROJECT NAME NOV'!$B95 &amp; "-" &amp; 'PROJECT NAME NOV'!$C95, Settings!$H:$H, 0)), "")</f>
        <v>850</v>
      </c>
      <c r="CI95" s="20">
        <f t="shared" si="27"/>
        <v>3825</v>
      </c>
      <c r="CJ95" s="20">
        <f t="shared" si="24"/>
        <v>191.25</v>
      </c>
      <c r="CK95" s="19">
        <f t="shared" si="19"/>
        <v>3633.75</v>
      </c>
      <c r="CM95" s="27"/>
      <c r="CN95" s="27"/>
      <c r="CO95" s="27"/>
      <c r="CP95" s="27"/>
      <c r="CQ95" s="27"/>
      <c r="CR95" s="27"/>
      <c r="CS95" s="8">
        <f t="shared" si="43"/>
        <v>0</v>
      </c>
      <c r="CT95" s="8">
        <f t="shared" si="65"/>
        <v>0</v>
      </c>
      <c r="CU95" s="19">
        <f>IFERROR(INDEX(Settings!$F:$F, MATCH('PROJECT NAME NOV'!$B95 &amp; "-" &amp; 'PROJECT NAME NOV'!$C95, Settings!$H:$H,0)), "")</f>
        <v>106.25</v>
      </c>
      <c r="CV95" s="19">
        <f>IFERROR(INDEX(Settings!$G:$G, MATCH('PROJECT NAME NOV'!$B95 &amp; "-" &amp; 'PROJECT NAME NOV'!$C95, Settings!$H:$H, 0)), "")</f>
        <v>850</v>
      </c>
      <c r="CW95" s="19">
        <f t="shared" si="62"/>
        <v>0</v>
      </c>
      <c r="CX95" s="20">
        <f t="shared" si="21"/>
        <v>0</v>
      </c>
      <c r="CY95" s="19">
        <f t="shared" si="45"/>
        <v>0</v>
      </c>
    </row>
    <row r="96" spans="1:110" x14ac:dyDescent="0.3">
      <c r="B96" s="3" t="s">
        <v>83</v>
      </c>
      <c r="C96" s="1" t="s">
        <v>29</v>
      </c>
      <c r="D96" s="3"/>
      <c r="E96" s="3" t="s">
        <v>131</v>
      </c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">
        <f t="shared" si="63"/>
        <v>0</v>
      </c>
      <c r="S96" s="8">
        <f t="shared" si="64"/>
        <v>0</v>
      </c>
      <c r="T96" s="19">
        <f>IFERROR(INDEX(Settings!$F:$F, MATCH('PROJECT NAME NOV'!$B96 &amp; "-" &amp; 'PROJECT NAME NOV'!$C96, Settings!$H:$H,0)), "")</f>
        <v>106.25</v>
      </c>
      <c r="U96" s="19">
        <f>IFERROR(INDEX(Settings!$G:$G, MATCH('PROJECT NAME NOV'!$B96 &amp; "-" &amp; 'PROJECT NAME NOV'!$C96, Settings!$H:$H, 0)), "")</f>
        <v>850</v>
      </c>
      <c r="V96" s="20">
        <f t="shared" si="25"/>
        <v>0</v>
      </c>
      <c r="W96" s="20">
        <f t="shared" si="22"/>
        <v>0</v>
      </c>
      <c r="X96" s="19">
        <f t="shared" si="8"/>
        <v>0</v>
      </c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44">
        <f>IFERROR(INDEX(Settings!$F:$F, MATCH('PROJECT NAME NOV'!$B96 &amp; "-" &amp; 'PROJECT NAME NOV'!$C96, Settings!$H:$H,0)), "")</f>
        <v>106.25</v>
      </c>
      <c r="AN96" s="44">
        <f>IFERROR(INDEX(Settings!$G:$G, MATCH('PROJECT NAME NOV'!$B96 &amp; "-" &amp; 'PROJECT NAME NOV'!$C96, Settings!$H:$H, 0)), "")</f>
        <v>850</v>
      </c>
      <c r="AO96" s="21">
        <f t="shared" si="9"/>
        <v>0</v>
      </c>
      <c r="AP96" s="21">
        <f t="shared" si="10"/>
        <v>0</v>
      </c>
      <c r="AQ96" s="44">
        <f t="shared" si="11"/>
        <v>0</v>
      </c>
      <c r="AR96" s="44">
        <f t="shared" si="12"/>
        <v>0</v>
      </c>
      <c r="AS96" s="44">
        <f t="shared" si="13"/>
        <v>0</v>
      </c>
      <c r="AT96" s="59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8">
        <f t="shared" si="14"/>
        <v>0</v>
      </c>
      <c r="BJ96" s="8">
        <f t="shared" si="15"/>
        <v>0</v>
      </c>
      <c r="BK96" s="19">
        <f>IFERROR(INDEX(Settings!$F:$F, MATCH('PROJECT NAME NOV'!$B96 &amp; "-" &amp; 'PROJECT NAME NOV'!$C96, Settings!$H:$H,0)), "")</f>
        <v>106.25</v>
      </c>
      <c r="BL96" s="19">
        <f>IFERROR(INDEX(Settings!$G:$G, MATCH('PROJECT NAME NOV'!$B96 &amp; "-" &amp; 'PROJECT NAME NOV'!$C96, Settings!$H:$H, 0)), "")</f>
        <v>850</v>
      </c>
      <c r="BM96" s="20">
        <f t="shared" si="26"/>
        <v>0</v>
      </c>
      <c r="BN96" s="20">
        <f t="shared" si="23"/>
        <v>0</v>
      </c>
      <c r="BO96" s="19">
        <f t="shared" si="16"/>
        <v>0</v>
      </c>
      <c r="BP96" s="54"/>
      <c r="BQ96" s="21">
        <v>8</v>
      </c>
      <c r="BR96" s="21">
        <v>4</v>
      </c>
      <c r="BS96" s="27">
        <v>0</v>
      </c>
      <c r="BT96" s="27">
        <v>0</v>
      </c>
      <c r="BU96" s="27">
        <v>8</v>
      </c>
      <c r="BV96" s="27">
        <v>0</v>
      </c>
      <c r="BW96" s="27">
        <v>0</v>
      </c>
      <c r="BX96" s="27">
        <v>0</v>
      </c>
      <c r="BY96" s="27">
        <v>0</v>
      </c>
      <c r="BZ96" s="27">
        <v>0</v>
      </c>
      <c r="CA96" s="27">
        <v>0</v>
      </c>
      <c r="CB96" s="27"/>
      <c r="CC96" s="27"/>
      <c r="CD96" s="27"/>
      <c r="CE96" s="8">
        <f t="shared" si="17"/>
        <v>16</v>
      </c>
      <c r="CF96" s="8">
        <f t="shared" si="18"/>
        <v>4</v>
      </c>
      <c r="CG96" s="19">
        <f>IFERROR(INDEX(Settings!$F:$F, MATCH('PROJECT NAME NOV'!$B96 &amp; "-" &amp; 'PROJECT NAME NOV'!$C96, Settings!$H:$H,0)), "")</f>
        <v>106.25</v>
      </c>
      <c r="CH96" s="19">
        <f>IFERROR(INDEX(Settings!$G:$G, MATCH('PROJECT NAME NOV'!$B96 &amp; "-" &amp; 'PROJECT NAME NOV'!$C96, Settings!$H:$H, 0)), "")</f>
        <v>850</v>
      </c>
      <c r="CI96" s="20">
        <f t="shared" si="27"/>
        <v>2337.5</v>
      </c>
      <c r="CJ96" s="20">
        <f t="shared" si="24"/>
        <v>116.875</v>
      </c>
      <c r="CK96" s="19">
        <f t="shared" si="19"/>
        <v>2220.625</v>
      </c>
      <c r="CM96" s="27"/>
      <c r="CN96" s="27"/>
      <c r="CO96" s="27"/>
      <c r="CP96" s="27"/>
      <c r="CQ96" s="27"/>
      <c r="CR96" s="27"/>
      <c r="CS96" s="8">
        <f t="shared" si="43"/>
        <v>0</v>
      </c>
      <c r="CT96" s="8">
        <f t="shared" ref="CT96:CT106" si="66">SUM(CN96,CP96,CR96)</f>
        <v>0</v>
      </c>
      <c r="CU96" s="19">
        <f>IFERROR(INDEX(Settings!$F:$F, MATCH('PROJECT NAME NOV'!$B96 &amp; "-" &amp; 'PROJECT NAME NOV'!$C96, Settings!$H:$H,0)), "")</f>
        <v>106.25</v>
      </c>
      <c r="CV96" s="19">
        <f>IFERROR(INDEX(Settings!$G:$G, MATCH('PROJECT NAME NOV'!$B96 &amp; "-" &amp; 'PROJECT NAME NOV'!$C96, Settings!$H:$H, 0)), "")</f>
        <v>850</v>
      </c>
      <c r="CW96" s="19">
        <f t="shared" si="62"/>
        <v>0</v>
      </c>
      <c r="CX96" s="20">
        <f t="shared" si="21"/>
        <v>0</v>
      </c>
      <c r="CY96" s="19">
        <f t="shared" si="45"/>
        <v>0</v>
      </c>
    </row>
    <row r="97" spans="2:103" x14ac:dyDescent="0.3">
      <c r="B97" s="3" t="s">
        <v>83</v>
      </c>
      <c r="C97" s="1" t="s">
        <v>29</v>
      </c>
      <c r="D97" s="3"/>
      <c r="E97" s="3" t="s">
        <v>132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8">
        <f t="shared" si="63"/>
        <v>0</v>
      </c>
      <c r="S97" s="8">
        <f t="shared" si="64"/>
        <v>0</v>
      </c>
      <c r="T97" s="19">
        <f>IFERROR(INDEX(Settings!$F:$F, MATCH('PROJECT NAME NOV'!$B97 &amp; "-" &amp; 'PROJECT NAME NOV'!$C97, Settings!$H:$H,0)), "")</f>
        <v>106.25</v>
      </c>
      <c r="U97" s="19">
        <f>IFERROR(INDEX(Settings!$G:$G, MATCH('PROJECT NAME NOV'!$B97 &amp; "-" &amp; 'PROJECT NAME NOV'!$C97, Settings!$H:$H, 0)), "")</f>
        <v>850</v>
      </c>
      <c r="V97" s="20">
        <f t="shared" si="25"/>
        <v>0</v>
      </c>
      <c r="W97" s="20">
        <f t="shared" si="22"/>
        <v>0</v>
      </c>
      <c r="X97" s="19">
        <f t="shared" si="8"/>
        <v>0</v>
      </c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44">
        <f>IFERROR(INDEX(Settings!$F:$F, MATCH('PROJECT NAME NOV'!$B97 &amp; "-" &amp; 'PROJECT NAME NOV'!$C97, Settings!$H:$H,0)), "")</f>
        <v>106.25</v>
      </c>
      <c r="AN97" s="44">
        <f>IFERROR(INDEX(Settings!$G:$G, MATCH('PROJECT NAME NOV'!$B97 &amp; "-" &amp; 'PROJECT NAME NOV'!$C97, Settings!$H:$H, 0)), "")</f>
        <v>850</v>
      </c>
      <c r="AO97" s="21">
        <f t="shared" si="9"/>
        <v>0</v>
      </c>
      <c r="AP97" s="21">
        <f t="shared" si="10"/>
        <v>0</v>
      </c>
      <c r="AQ97" s="44">
        <f t="shared" si="11"/>
        <v>0</v>
      </c>
      <c r="AR97" s="44">
        <f t="shared" si="12"/>
        <v>0</v>
      </c>
      <c r="AS97" s="44">
        <f t="shared" si="13"/>
        <v>0</v>
      </c>
      <c r="AT97" s="59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8">
        <f t="shared" si="14"/>
        <v>0</v>
      </c>
      <c r="BJ97" s="8">
        <f t="shared" si="15"/>
        <v>0</v>
      </c>
      <c r="BK97" s="19">
        <f>IFERROR(INDEX(Settings!$F:$F, MATCH('PROJECT NAME NOV'!$B97 &amp; "-" &amp; 'PROJECT NAME NOV'!$C97, Settings!$H:$H,0)), "")</f>
        <v>106.25</v>
      </c>
      <c r="BL97" s="19">
        <f>IFERROR(INDEX(Settings!$G:$G, MATCH('PROJECT NAME NOV'!$B97 &amp; "-" &amp; 'PROJECT NAME NOV'!$C97, Settings!$H:$H, 0)), "")</f>
        <v>850</v>
      </c>
      <c r="BM97" s="20">
        <f t="shared" si="26"/>
        <v>0</v>
      </c>
      <c r="BN97" s="20">
        <f t="shared" si="23"/>
        <v>0</v>
      </c>
      <c r="BO97" s="19">
        <f t="shared" si="16"/>
        <v>0</v>
      </c>
      <c r="BP97" s="54"/>
      <c r="BQ97" s="21">
        <v>8</v>
      </c>
      <c r="BR97" s="21">
        <v>4</v>
      </c>
      <c r="BS97" s="27">
        <v>8</v>
      </c>
      <c r="BT97" s="27">
        <v>4</v>
      </c>
      <c r="BU97" s="27">
        <v>8</v>
      </c>
      <c r="BV97" s="27">
        <v>0</v>
      </c>
      <c r="BW97" s="27">
        <v>0</v>
      </c>
      <c r="BX97" s="27">
        <v>0</v>
      </c>
      <c r="BY97" s="27">
        <v>8</v>
      </c>
      <c r="BZ97" s="27">
        <v>4</v>
      </c>
      <c r="CA97" s="27">
        <v>8</v>
      </c>
      <c r="CB97" s="27"/>
      <c r="CC97" s="27"/>
      <c r="CD97" s="27"/>
      <c r="CE97" s="8">
        <f t="shared" si="17"/>
        <v>40</v>
      </c>
      <c r="CF97" s="8">
        <f t="shared" si="18"/>
        <v>12</v>
      </c>
      <c r="CG97" s="19">
        <f>IFERROR(INDEX(Settings!$F:$F, MATCH('PROJECT NAME NOV'!$B97 &amp; "-" &amp; 'PROJECT NAME NOV'!$C97, Settings!$H:$H,0)), "")</f>
        <v>106.25</v>
      </c>
      <c r="CH97" s="19">
        <f>IFERROR(INDEX(Settings!$G:$G, MATCH('PROJECT NAME NOV'!$B97 &amp; "-" &amp; 'PROJECT NAME NOV'!$C97, Settings!$H:$H, 0)), "")</f>
        <v>850</v>
      </c>
      <c r="CI97" s="20">
        <f t="shared" si="27"/>
        <v>6162.5</v>
      </c>
      <c r="CJ97" s="20">
        <f t="shared" si="24"/>
        <v>308.125</v>
      </c>
      <c r="CK97" s="19">
        <f t="shared" si="19"/>
        <v>5854.375</v>
      </c>
      <c r="CM97" s="27"/>
      <c r="CN97" s="27"/>
      <c r="CO97" s="27"/>
      <c r="CP97" s="27"/>
      <c r="CQ97" s="27"/>
      <c r="CR97" s="27"/>
      <c r="CS97" s="8">
        <f t="shared" si="43"/>
        <v>0</v>
      </c>
      <c r="CT97" s="8">
        <f t="shared" si="66"/>
        <v>0</v>
      </c>
      <c r="CU97" s="19">
        <f>IFERROR(INDEX(Settings!$F:$F, MATCH('PROJECT NAME NOV'!$B97 &amp; "-" &amp; 'PROJECT NAME NOV'!$C97, Settings!$H:$H,0)), "")</f>
        <v>106.25</v>
      </c>
      <c r="CV97" s="19">
        <f>IFERROR(INDEX(Settings!$G:$G, MATCH('PROJECT NAME NOV'!$B97 &amp; "-" &amp; 'PROJECT NAME NOV'!$C97, Settings!$H:$H, 0)), "")</f>
        <v>850</v>
      </c>
      <c r="CW97" s="19">
        <f t="shared" si="62"/>
        <v>0</v>
      </c>
      <c r="CX97" s="20">
        <f t="shared" si="21"/>
        <v>0</v>
      </c>
      <c r="CY97" s="19">
        <f t="shared" si="45"/>
        <v>0</v>
      </c>
    </row>
    <row r="98" spans="2:103" x14ac:dyDescent="0.3">
      <c r="B98" s="3" t="s">
        <v>83</v>
      </c>
      <c r="C98" s="1" t="s">
        <v>29</v>
      </c>
      <c r="D98" s="3"/>
      <c r="E98" s="3" t="s">
        <v>133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">
        <f t="shared" si="63"/>
        <v>0</v>
      </c>
      <c r="S98" s="8">
        <f t="shared" si="64"/>
        <v>0</v>
      </c>
      <c r="T98" s="19">
        <f>IFERROR(INDEX(Settings!$F:$F, MATCH('PROJECT NAME NOV'!$B98 &amp; "-" &amp; 'PROJECT NAME NOV'!$C98, Settings!$H:$H,0)), "")</f>
        <v>106.25</v>
      </c>
      <c r="U98" s="19">
        <f>IFERROR(INDEX(Settings!$G:$G, MATCH('PROJECT NAME NOV'!$B98 &amp; "-" &amp; 'PROJECT NAME NOV'!$C98, Settings!$H:$H, 0)), "")</f>
        <v>850</v>
      </c>
      <c r="V98" s="20">
        <f t="shared" si="25"/>
        <v>0</v>
      </c>
      <c r="W98" s="20">
        <f t="shared" si="22"/>
        <v>0</v>
      </c>
      <c r="X98" s="19">
        <f t="shared" si="8"/>
        <v>0</v>
      </c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44">
        <f>IFERROR(INDEX(Settings!$F:$F, MATCH('PROJECT NAME NOV'!$B98 &amp; "-" &amp; 'PROJECT NAME NOV'!$C98, Settings!$H:$H,0)), "")</f>
        <v>106.25</v>
      </c>
      <c r="AN98" s="44">
        <f>IFERROR(INDEX(Settings!$G:$G, MATCH('PROJECT NAME NOV'!$B98 &amp; "-" &amp; 'PROJECT NAME NOV'!$C98, Settings!$H:$H, 0)), "")</f>
        <v>850</v>
      </c>
      <c r="AO98" s="21">
        <f t="shared" si="9"/>
        <v>0</v>
      </c>
      <c r="AP98" s="21">
        <f t="shared" si="10"/>
        <v>0</v>
      </c>
      <c r="AQ98" s="44">
        <f t="shared" si="11"/>
        <v>0</v>
      </c>
      <c r="AR98" s="44">
        <f t="shared" si="12"/>
        <v>0</v>
      </c>
      <c r="AS98" s="44">
        <f t="shared" si="13"/>
        <v>0</v>
      </c>
      <c r="AT98" s="59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8">
        <f t="shared" si="14"/>
        <v>0</v>
      </c>
      <c r="BJ98" s="8">
        <f t="shared" si="15"/>
        <v>0</v>
      </c>
      <c r="BK98" s="19">
        <f>IFERROR(INDEX(Settings!$F:$F, MATCH('PROJECT NAME NOV'!$B98 &amp; "-" &amp; 'PROJECT NAME NOV'!$C98, Settings!$H:$H,0)), "")</f>
        <v>106.25</v>
      </c>
      <c r="BL98" s="19">
        <f>IFERROR(INDEX(Settings!$G:$G, MATCH('PROJECT NAME NOV'!$B98 &amp; "-" &amp; 'PROJECT NAME NOV'!$C98, Settings!$H:$H, 0)), "")</f>
        <v>850</v>
      </c>
      <c r="BM98" s="20">
        <f t="shared" si="26"/>
        <v>0</v>
      </c>
      <c r="BN98" s="20">
        <f t="shared" si="23"/>
        <v>0</v>
      </c>
      <c r="BO98" s="19">
        <f t="shared" si="16"/>
        <v>0</v>
      </c>
      <c r="BP98" s="54"/>
      <c r="BQ98" s="21">
        <v>8</v>
      </c>
      <c r="BR98" s="21">
        <v>4</v>
      </c>
      <c r="BS98" s="27">
        <v>8</v>
      </c>
      <c r="BT98" s="27">
        <v>4</v>
      </c>
      <c r="BU98" s="27">
        <v>0</v>
      </c>
      <c r="BV98" s="27">
        <v>0</v>
      </c>
      <c r="BW98" s="27">
        <v>8</v>
      </c>
      <c r="BX98" s="27">
        <v>4</v>
      </c>
      <c r="BY98" s="27">
        <v>8</v>
      </c>
      <c r="BZ98" s="27">
        <v>4</v>
      </c>
      <c r="CA98" s="27">
        <v>8</v>
      </c>
      <c r="CB98" s="27"/>
      <c r="CC98" s="27"/>
      <c r="CD98" s="27"/>
      <c r="CE98" s="8">
        <f t="shared" si="17"/>
        <v>40</v>
      </c>
      <c r="CF98" s="8">
        <f t="shared" si="18"/>
        <v>16</v>
      </c>
      <c r="CG98" s="19">
        <f>IFERROR(INDEX(Settings!$F:$F, MATCH('PROJECT NAME NOV'!$B98 &amp; "-" &amp; 'PROJECT NAME NOV'!$C98, Settings!$H:$H,0)), "")</f>
        <v>106.25</v>
      </c>
      <c r="CH98" s="19">
        <f>IFERROR(INDEX(Settings!$G:$G, MATCH('PROJECT NAME NOV'!$B98 &amp; "-" &amp; 'PROJECT NAME NOV'!$C98, Settings!$H:$H, 0)), "")</f>
        <v>850</v>
      </c>
      <c r="CI98" s="20">
        <f t="shared" si="27"/>
        <v>6800</v>
      </c>
      <c r="CJ98" s="20">
        <f t="shared" si="24"/>
        <v>340</v>
      </c>
      <c r="CK98" s="19">
        <f t="shared" si="19"/>
        <v>6460</v>
      </c>
      <c r="CM98" s="27"/>
      <c r="CN98" s="27"/>
      <c r="CO98" s="27"/>
      <c r="CP98" s="27"/>
      <c r="CQ98" s="27"/>
      <c r="CR98" s="27"/>
      <c r="CS98" s="8">
        <f t="shared" si="43"/>
        <v>0</v>
      </c>
      <c r="CT98" s="8">
        <f t="shared" si="66"/>
        <v>0</v>
      </c>
      <c r="CU98" s="19">
        <f>IFERROR(INDEX(Settings!$F:$F, MATCH('PROJECT NAME NOV'!$B98 &amp; "-" &amp; 'PROJECT NAME NOV'!$C98, Settings!$H:$H,0)), "")</f>
        <v>106.25</v>
      </c>
      <c r="CV98" s="19">
        <f>IFERROR(INDEX(Settings!$G:$G, MATCH('PROJECT NAME NOV'!$B98 &amp; "-" &amp; 'PROJECT NAME NOV'!$C98, Settings!$H:$H, 0)), "")</f>
        <v>850</v>
      </c>
      <c r="CW98" s="19">
        <f t="shared" si="62"/>
        <v>0</v>
      </c>
      <c r="CX98" s="20">
        <f t="shared" si="21"/>
        <v>0</v>
      </c>
      <c r="CY98" s="19">
        <f t="shared" si="45"/>
        <v>0</v>
      </c>
    </row>
    <row r="99" spans="2:103" x14ac:dyDescent="0.3">
      <c r="B99" s="3" t="s">
        <v>83</v>
      </c>
      <c r="C99" s="1" t="s">
        <v>29</v>
      </c>
      <c r="D99" s="3"/>
      <c r="E99" s="3" t="s">
        <v>134</v>
      </c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8">
        <f t="shared" si="63"/>
        <v>0</v>
      </c>
      <c r="S99" s="8">
        <f t="shared" si="64"/>
        <v>0</v>
      </c>
      <c r="T99" s="19">
        <f>IFERROR(INDEX(Settings!$F:$F, MATCH('PROJECT NAME NOV'!$B99 &amp; "-" &amp; 'PROJECT NAME NOV'!$C99, Settings!$H:$H,0)), "")</f>
        <v>106.25</v>
      </c>
      <c r="U99" s="19">
        <f>IFERROR(INDEX(Settings!$G:$G, MATCH('PROJECT NAME NOV'!$B99 &amp; "-" &amp; 'PROJECT NAME NOV'!$C99, Settings!$H:$H, 0)), "")</f>
        <v>850</v>
      </c>
      <c r="V99" s="20">
        <f t="shared" si="25"/>
        <v>0</v>
      </c>
      <c r="W99" s="20">
        <f t="shared" si="22"/>
        <v>0</v>
      </c>
      <c r="X99" s="19">
        <f t="shared" si="8"/>
        <v>0</v>
      </c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44">
        <f>IFERROR(INDEX(Settings!$F:$F, MATCH('PROJECT NAME NOV'!$B99 &amp; "-" &amp; 'PROJECT NAME NOV'!$C99, Settings!$H:$H,0)), "")</f>
        <v>106.25</v>
      </c>
      <c r="AN99" s="44">
        <f>IFERROR(INDEX(Settings!$G:$G, MATCH('PROJECT NAME NOV'!$B99 &amp; "-" &amp; 'PROJECT NAME NOV'!$C99, Settings!$H:$H, 0)), "")</f>
        <v>850</v>
      </c>
      <c r="AO99" s="21">
        <f t="shared" si="9"/>
        <v>0</v>
      </c>
      <c r="AP99" s="21">
        <f t="shared" si="10"/>
        <v>0</v>
      </c>
      <c r="AQ99" s="44">
        <f t="shared" si="11"/>
        <v>0</v>
      </c>
      <c r="AR99" s="44">
        <f t="shared" si="12"/>
        <v>0</v>
      </c>
      <c r="AS99" s="44">
        <f t="shared" si="13"/>
        <v>0</v>
      </c>
      <c r="AT99" s="59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8">
        <f t="shared" si="14"/>
        <v>0</v>
      </c>
      <c r="BJ99" s="8">
        <f t="shared" si="15"/>
        <v>0</v>
      </c>
      <c r="BK99" s="19">
        <f>IFERROR(INDEX(Settings!$F:$F, MATCH('PROJECT NAME NOV'!$B99 &amp; "-" &amp; 'PROJECT NAME NOV'!$C99, Settings!$H:$H,0)), "")</f>
        <v>106.25</v>
      </c>
      <c r="BL99" s="19">
        <f>IFERROR(INDEX(Settings!$G:$G, MATCH('PROJECT NAME NOV'!$B99 &amp; "-" &amp; 'PROJECT NAME NOV'!$C99, Settings!$H:$H, 0)), "")</f>
        <v>850</v>
      </c>
      <c r="BM99" s="20">
        <f t="shared" si="26"/>
        <v>0</v>
      </c>
      <c r="BN99" s="20">
        <f t="shared" si="23"/>
        <v>0</v>
      </c>
      <c r="BO99" s="19">
        <f t="shared" si="16"/>
        <v>0</v>
      </c>
      <c r="BP99" s="54"/>
      <c r="BQ99" s="21">
        <v>8</v>
      </c>
      <c r="BR99" s="21">
        <v>4</v>
      </c>
      <c r="BS99" s="27">
        <v>0</v>
      </c>
      <c r="BT99" s="27">
        <v>0</v>
      </c>
      <c r="BU99" s="27">
        <v>0</v>
      </c>
      <c r="BV99" s="27">
        <v>0</v>
      </c>
      <c r="BW99" s="27">
        <v>8</v>
      </c>
      <c r="BX99" s="27">
        <v>4</v>
      </c>
      <c r="BY99" s="27">
        <v>8</v>
      </c>
      <c r="BZ99" s="27">
        <v>4</v>
      </c>
      <c r="CA99" s="27">
        <v>8</v>
      </c>
      <c r="CB99" s="27"/>
      <c r="CC99" s="27"/>
      <c r="CD99" s="27"/>
      <c r="CE99" s="8">
        <f t="shared" si="17"/>
        <v>32</v>
      </c>
      <c r="CF99" s="8">
        <f t="shared" si="18"/>
        <v>12</v>
      </c>
      <c r="CG99" s="19">
        <f>IFERROR(INDEX(Settings!$F:$F, MATCH('PROJECT NAME NOV'!$B99 &amp; "-" &amp; 'PROJECT NAME NOV'!$C99, Settings!$H:$H,0)), "")</f>
        <v>106.25</v>
      </c>
      <c r="CH99" s="19">
        <f>IFERROR(INDEX(Settings!$G:$G, MATCH('PROJECT NAME NOV'!$B99 &amp; "-" &amp; 'PROJECT NAME NOV'!$C99, Settings!$H:$H, 0)), "")</f>
        <v>850</v>
      </c>
      <c r="CI99" s="20">
        <f t="shared" si="27"/>
        <v>5312.5</v>
      </c>
      <c r="CJ99" s="20">
        <f t="shared" si="24"/>
        <v>265.625</v>
      </c>
      <c r="CK99" s="19">
        <f t="shared" si="19"/>
        <v>5046.875</v>
      </c>
      <c r="CM99" s="27"/>
      <c r="CN99" s="27"/>
      <c r="CO99" s="27"/>
      <c r="CP99" s="27"/>
      <c r="CQ99" s="27"/>
      <c r="CR99" s="27"/>
      <c r="CS99" s="8">
        <f t="shared" si="43"/>
        <v>0</v>
      </c>
      <c r="CT99" s="8">
        <f t="shared" si="66"/>
        <v>0</v>
      </c>
      <c r="CU99" s="19">
        <f>IFERROR(INDEX(Settings!$F:$F, MATCH('PROJECT NAME NOV'!$B99 &amp; "-" &amp; 'PROJECT NAME NOV'!$C99, Settings!$H:$H,0)), "")</f>
        <v>106.25</v>
      </c>
      <c r="CV99" s="19">
        <f>IFERROR(INDEX(Settings!$G:$G, MATCH('PROJECT NAME NOV'!$B99 &amp; "-" &amp; 'PROJECT NAME NOV'!$C99, Settings!$H:$H, 0)), "")</f>
        <v>850</v>
      </c>
      <c r="CW99" s="19">
        <f t="shared" si="62"/>
        <v>0</v>
      </c>
      <c r="CX99" s="20">
        <f t="shared" si="21"/>
        <v>0</v>
      </c>
      <c r="CY99" s="19">
        <f t="shared" si="45"/>
        <v>0</v>
      </c>
    </row>
    <row r="100" spans="2:103" x14ac:dyDescent="0.3">
      <c r="B100" s="3" t="s">
        <v>83</v>
      </c>
      <c r="C100" s="1" t="s">
        <v>29</v>
      </c>
      <c r="D100" s="3"/>
      <c r="E100" s="3" t="s">
        <v>135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">
        <f t="shared" si="63"/>
        <v>0</v>
      </c>
      <c r="S100" s="8">
        <f t="shared" si="64"/>
        <v>0</v>
      </c>
      <c r="T100" s="19">
        <f>IFERROR(INDEX(Settings!$F:$F, MATCH('PROJECT NAME NOV'!$B100 &amp; "-" &amp; 'PROJECT NAME NOV'!$C100, Settings!$H:$H,0)), "")</f>
        <v>106.25</v>
      </c>
      <c r="U100" s="19">
        <f>IFERROR(INDEX(Settings!$G:$G, MATCH('PROJECT NAME NOV'!$B100 &amp; "-" &amp; 'PROJECT NAME NOV'!$C100, Settings!$H:$H, 0)), "")</f>
        <v>850</v>
      </c>
      <c r="V100" s="20">
        <f t="shared" si="25"/>
        <v>0</v>
      </c>
      <c r="W100" s="20">
        <f t="shared" si="22"/>
        <v>0</v>
      </c>
      <c r="X100" s="19">
        <f t="shared" si="8"/>
        <v>0</v>
      </c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44">
        <f>IFERROR(INDEX(Settings!$F:$F, MATCH('PROJECT NAME NOV'!$B100 &amp; "-" &amp; 'PROJECT NAME NOV'!$C100, Settings!$H:$H,0)), "")</f>
        <v>106.25</v>
      </c>
      <c r="AN100" s="44">
        <f>IFERROR(INDEX(Settings!$G:$G, MATCH('PROJECT NAME NOV'!$B100 &amp; "-" &amp; 'PROJECT NAME NOV'!$C100, Settings!$H:$H, 0)), "")</f>
        <v>850</v>
      </c>
      <c r="AO100" s="21">
        <f t="shared" si="9"/>
        <v>0</v>
      </c>
      <c r="AP100" s="21">
        <f t="shared" si="10"/>
        <v>0</v>
      </c>
      <c r="AQ100" s="44">
        <f t="shared" si="11"/>
        <v>0</v>
      </c>
      <c r="AR100" s="44">
        <f t="shared" si="12"/>
        <v>0</v>
      </c>
      <c r="AS100" s="44">
        <f t="shared" si="13"/>
        <v>0</v>
      </c>
      <c r="AT100" s="59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8">
        <f t="shared" si="14"/>
        <v>0</v>
      </c>
      <c r="BJ100" s="8">
        <f t="shared" si="15"/>
        <v>0</v>
      </c>
      <c r="BK100" s="19">
        <f>IFERROR(INDEX(Settings!$F:$F, MATCH('PROJECT NAME NOV'!$B100 &amp; "-" &amp; 'PROJECT NAME NOV'!$C100, Settings!$H:$H,0)), "")</f>
        <v>106.25</v>
      </c>
      <c r="BL100" s="19">
        <f>IFERROR(INDEX(Settings!$G:$G, MATCH('PROJECT NAME NOV'!$B100 &amp; "-" &amp; 'PROJECT NAME NOV'!$C100, Settings!$H:$H, 0)), "")</f>
        <v>850</v>
      </c>
      <c r="BM100" s="20">
        <f t="shared" si="26"/>
        <v>0</v>
      </c>
      <c r="BN100" s="20">
        <f t="shared" si="23"/>
        <v>0</v>
      </c>
      <c r="BO100" s="19">
        <f t="shared" si="16"/>
        <v>0</v>
      </c>
      <c r="BP100" s="54"/>
      <c r="BQ100" s="21">
        <v>8</v>
      </c>
      <c r="BR100" s="21">
        <v>4</v>
      </c>
      <c r="BS100" s="27">
        <v>0</v>
      </c>
      <c r="BT100" s="27">
        <v>0</v>
      </c>
      <c r="BU100" s="27">
        <v>0</v>
      </c>
      <c r="BV100" s="27">
        <v>0</v>
      </c>
      <c r="BW100" s="27">
        <v>8</v>
      </c>
      <c r="BX100" s="27">
        <v>4</v>
      </c>
      <c r="BY100" s="27">
        <v>8</v>
      </c>
      <c r="BZ100" s="27">
        <v>4</v>
      </c>
      <c r="CA100" s="27">
        <v>8</v>
      </c>
      <c r="CB100" s="27"/>
      <c r="CC100" s="27"/>
      <c r="CD100" s="27"/>
      <c r="CE100" s="8">
        <f t="shared" si="17"/>
        <v>32</v>
      </c>
      <c r="CF100" s="8">
        <f t="shared" si="18"/>
        <v>12</v>
      </c>
      <c r="CG100" s="19">
        <f>IFERROR(INDEX(Settings!$F:$F, MATCH('PROJECT NAME NOV'!$B100 &amp; "-" &amp; 'PROJECT NAME NOV'!$C100, Settings!$H:$H,0)), "")</f>
        <v>106.25</v>
      </c>
      <c r="CH100" s="19">
        <f>IFERROR(INDEX(Settings!$G:$G, MATCH('PROJECT NAME NOV'!$B100 &amp; "-" &amp; 'PROJECT NAME NOV'!$C100, Settings!$H:$H, 0)), "")</f>
        <v>850</v>
      </c>
      <c r="CI100" s="20">
        <f t="shared" si="27"/>
        <v>5312.5</v>
      </c>
      <c r="CJ100" s="20">
        <f t="shared" si="24"/>
        <v>265.625</v>
      </c>
      <c r="CK100" s="19">
        <f t="shared" si="19"/>
        <v>5046.875</v>
      </c>
      <c r="CM100" s="27"/>
      <c r="CN100" s="27"/>
      <c r="CO100" s="27"/>
      <c r="CP100" s="27"/>
      <c r="CQ100" s="27"/>
      <c r="CR100" s="27"/>
      <c r="CS100" s="8">
        <f t="shared" si="43"/>
        <v>0</v>
      </c>
      <c r="CT100" s="8">
        <f t="shared" si="66"/>
        <v>0</v>
      </c>
      <c r="CU100" s="19">
        <f>IFERROR(INDEX(Settings!$F:$F, MATCH('PROJECT NAME NOV'!$B100 &amp; "-" &amp; 'PROJECT NAME NOV'!$C100, Settings!$H:$H,0)), "")</f>
        <v>106.25</v>
      </c>
      <c r="CV100" s="19">
        <f>IFERROR(INDEX(Settings!$G:$G, MATCH('PROJECT NAME NOV'!$B100 &amp; "-" &amp; 'PROJECT NAME NOV'!$C100, Settings!$H:$H, 0)), "")</f>
        <v>850</v>
      </c>
      <c r="CW100" s="19">
        <f t="shared" si="62"/>
        <v>0</v>
      </c>
      <c r="CX100" s="20">
        <f t="shared" si="21"/>
        <v>0</v>
      </c>
      <c r="CY100" s="19">
        <f t="shared" si="45"/>
        <v>0</v>
      </c>
    </row>
    <row r="101" spans="2:103" x14ac:dyDescent="0.3">
      <c r="B101" s="3" t="s">
        <v>83</v>
      </c>
      <c r="C101" s="1" t="s">
        <v>29</v>
      </c>
      <c r="D101" s="3"/>
      <c r="E101" s="3" t="s">
        <v>136</v>
      </c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8">
        <f t="shared" si="63"/>
        <v>0</v>
      </c>
      <c r="S101" s="8">
        <f t="shared" si="64"/>
        <v>0</v>
      </c>
      <c r="T101" s="19">
        <f>IFERROR(INDEX(Settings!$F:$F, MATCH('PROJECT NAME NOV'!$B101 &amp; "-" &amp; 'PROJECT NAME NOV'!$C101, Settings!$H:$H,0)), "")</f>
        <v>106.25</v>
      </c>
      <c r="U101" s="19">
        <f>IFERROR(INDEX(Settings!$G:$G, MATCH('PROJECT NAME NOV'!$B101 &amp; "-" &amp; 'PROJECT NAME NOV'!$C101, Settings!$H:$H, 0)), "")</f>
        <v>850</v>
      </c>
      <c r="V101" s="20">
        <f t="shared" si="25"/>
        <v>0</v>
      </c>
      <c r="W101" s="20">
        <f t="shared" si="22"/>
        <v>0</v>
      </c>
      <c r="X101" s="19">
        <f t="shared" si="8"/>
        <v>0</v>
      </c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44">
        <f>IFERROR(INDEX(Settings!$F:$F, MATCH('PROJECT NAME NOV'!$B101 &amp; "-" &amp; 'PROJECT NAME NOV'!$C101, Settings!$H:$H,0)), "")</f>
        <v>106.25</v>
      </c>
      <c r="AN101" s="44">
        <f>IFERROR(INDEX(Settings!$G:$G, MATCH('PROJECT NAME NOV'!$B101 &amp; "-" &amp; 'PROJECT NAME NOV'!$C101, Settings!$H:$H, 0)), "")</f>
        <v>850</v>
      </c>
      <c r="AO101" s="21">
        <f t="shared" si="9"/>
        <v>0</v>
      </c>
      <c r="AP101" s="21">
        <f t="shared" si="10"/>
        <v>0</v>
      </c>
      <c r="AQ101" s="44">
        <f t="shared" si="11"/>
        <v>0</v>
      </c>
      <c r="AR101" s="44">
        <f t="shared" si="12"/>
        <v>0</v>
      </c>
      <c r="AS101" s="44">
        <f t="shared" si="13"/>
        <v>0</v>
      </c>
      <c r="AT101" s="59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8">
        <f t="shared" si="14"/>
        <v>0</v>
      </c>
      <c r="BJ101" s="8">
        <f t="shared" si="15"/>
        <v>0</v>
      </c>
      <c r="BK101" s="19">
        <f>IFERROR(INDEX(Settings!$F:$F, MATCH('PROJECT NAME NOV'!$B101 &amp; "-" &amp; 'PROJECT NAME NOV'!$C101, Settings!$H:$H,0)), "")</f>
        <v>106.25</v>
      </c>
      <c r="BL101" s="19">
        <f>IFERROR(INDEX(Settings!$G:$G, MATCH('PROJECT NAME NOV'!$B101 &amp; "-" &amp; 'PROJECT NAME NOV'!$C101, Settings!$H:$H, 0)), "")</f>
        <v>850</v>
      </c>
      <c r="BM101" s="20">
        <f t="shared" si="26"/>
        <v>0</v>
      </c>
      <c r="BN101" s="20">
        <f t="shared" si="23"/>
        <v>0</v>
      </c>
      <c r="BO101" s="19">
        <f t="shared" si="16"/>
        <v>0</v>
      </c>
      <c r="BP101" s="54"/>
      <c r="BQ101" s="21">
        <v>8</v>
      </c>
      <c r="BR101" s="21">
        <v>4</v>
      </c>
      <c r="BS101" s="27">
        <v>0</v>
      </c>
      <c r="BT101" s="27">
        <v>0</v>
      </c>
      <c r="BU101" s="27">
        <v>0</v>
      </c>
      <c r="BV101" s="27">
        <v>0</v>
      </c>
      <c r="BW101" s="27">
        <v>8</v>
      </c>
      <c r="BX101" s="27">
        <v>4</v>
      </c>
      <c r="BY101" s="27">
        <v>8</v>
      </c>
      <c r="BZ101" s="27">
        <v>4</v>
      </c>
      <c r="CA101" s="27">
        <v>8</v>
      </c>
      <c r="CB101" s="27"/>
      <c r="CC101" s="27"/>
      <c r="CD101" s="27"/>
      <c r="CE101" s="8">
        <f t="shared" si="17"/>
        <v>32</v>
      </c>
      <c r="CF101" s="8">
        <f t="shared" si="18"/>
        <v>12</v>
      </c>
      <c r="CG101" s="19">
        <f>IFERROR(INDEX(Settings!$F:$F, MATCH('PROJECT NAME NOV'!$B101 &amp; "-" &amp; 'PROJECT NAME NOV'!$C101, Settings!$H:$H,0)), "")</f>
        <v>106.25</v>
      </c>
      <c r="CH101" s="19">
        <f>IFERROR(INDEX(Settings!$G:$G, MATCH('PROJECT NAME NOV'!$B101 &amp; "-" &amp; 'PROJECT NAME NOV'!$C101, Settings!$H:$H, 0)), "")</f>
        <v>850</v>
      </c>
      <c r="CI101" s="20">
        <f t="shared" si="27"/>
        <v>5312.5</v>
      </c>
      <c r="CJ101" s="20">
        <f t="shared" si="24"/>
        <v>265.625</v>
      </c>
      <c r="CK101" s="19">
        <f t="shared" si="19"/>
        <v>5046.875</v>
      </c>
      <c r="CM101" s="27"/>
      <c r="CN101" s="27"/>
      <c r="CO101" s="27"/>
      <c r="CP101" s="27"/>
      <c r="CQ101" s="27"/>
      <c r="CR101" s="27"/>
      <c r="CS101" s="8">
        <f t="shared" si="43"/>
        <v>0</v>
      </c>
      <c r="CT101" s="8">
        <f t="shared" si="66"/>
        <v>0</v>
      </c>
      <c r="CU101" s="19">
        <f>IFERROR(INDEX(Settings!$F:$F, MATCH('PROJECT NAME NOV'!$B101 &amp; "-" &amp; 'PROJECT NAME NOV'!$C101, Settings!$H:$H,0)), "")</f>
        <v>106.25</v>
      </c>
      <c r="CV101" s="19">
        <f>IFERROR(INDEX(Settings!$G:$G, MATCH('PROJECT NAME NOV'!$B101 &amp; "-" &amp; 'PROJECT NAME NOV'!$C101, Settings!$H:$H, 0)), "")</f>
        <v>850</v>
      </c>
      <c r="CW101" s="19">
        <f t="shared" si="62"/>
        <v>0</v>
      </c>
      <c r="CX101" s="20">
        <f t="shared" si="21"/>
        <v>0</v>
      </c>
      <c r="CY101" s="19">
        <f t="shared" si="45"/>
        <v>0</v>
      </c>
    </row>
    <row r="102" spans="2:103" x14ac:dyDescent="0.3">
      <c r="B102" s="3" t="s">
        <v>83</v>
      </c>
      <c r="C102" s="1" t="s">
        <v>29</v>
      </c>
      <c r="D102" s="3"/>
      <c r="E102" s="3" t="s">
        <v>137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8">
        <f t="shared" si="63"/>
        <v>0</v>
      </c>
      <c r="S102" s="8">
        <f t="shared" si="64"/>
        <v>0</v>
      </c>
      <c r="T102" s="19">
        <f>IFERROR(INDEX(Settings!$F:$F, MATCH('PROJECT NAME NOV'!$B102 &amp; "-" &amp; 'PROJECT NAME NOV'!$C102, Settings!$H:$H,0)), "")</f>
        <v>106.25</v>
      </c>
      <c r="U102" s="19">
        <f>IFERROR(INDEX(Settings!$G:$G, MATCH('PROJECT NAME NOV'!$B102 &amp; "-" &amp; 'PROJECT NAME NOV'!$C102, Settings!$H:$H, 0)), "")</f>
        <v>850</v>
      </c>
      <c r="V102" s="20">
        <f t="shared" si="25"/>
        <v>0</v>
      </c>
      <c r="W102" s="20">
        <f t="shared" si="22"/>
        <v>0</v>
      </c>
      <c r="X102" s="19">
        <f t="shared" si="8"/>
        <v>0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44">
        <f>IFERROR(INDEX(Settings!$F:$F, MATCH('PROJECT NAME NOV'!$B102 &amp; "-" &amp; 'PROJECT NAME NOV'!$C102, Settings!$H:$H,0)), "")</f>
        <v>106.25</v>
      </c>
      <c r="AN102" s="44">
        <f>IFERROR(INDEX(Settings!$G:$G, MATCH('PROJECT NAME NOV'!$B102 &amp; "-" &amp; 'PROJECT NAME NOV'!$C102, Settings!$H:$H, 0)), "")</f>
        <v>850</v>
      </c>
      <c r="AO102" s="21">
        <f t="shared" si="9"/>
        <v>0</v>
      </c>
      <c r="AP102" s="21">
        <f t="shared" si="10"/>
        <v>0</v>
      </c>
      <c r="AQ102" s="44">
        <f t="shared" si="11"/>
        <v>0</v>
      </c>
      <c r="AR102" s="44">
        <f t="shared" si="12"/>
        <v>0</v>
      </c>
      <c r="AS102" s="44">
        <f t="shared" si="13"/>
        <v>0</v>
      </c>
      <c r="AT102" s="59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8">
        <f t="shared" si="14"/>
        <v>0</v>
      </c>
      <c r="BJ102" s="8">
        <f t="shared" si="15"/>
        <v>0</v>
      </c>
      <c r="BK102" s="19">
        <f>IFERROR(INDEX(Settings!$F:$F, MATCH('PROJECT NAME NOV'!$B102 &amp; "-" &amp; 'PROJECT NAME NOV'!$C102, Settings!$H:$H,0)), "")</f>
        <v>106.25</v>
      </c>
      <c r="BL102" s="19">
        <f>IFERROR(INDEX(Settings!$G:$G, MATCH('PROJECT NAME NOV'!$B102 &amp; "-" &amp; 'PROJECT NAME NOV'!$C102, Settings!$H:$H, 0)), "")</f>
        <v>850</v>
      </c>
      <c r="BM102" s="20">
        <f t="shared" si="26"/>
        <v>0</v>
      </c>
      <c r="BN102" s="20">
        <f t="shared" si="23"/>
        <v>0</v>
      </c>
      <c r="BO102" s="19">
        <f t="shared" si="16"/>
        <v>0</v>
      </c>
      <c r="BP102" s="54"/>
      <c r="BQ102" s="21">
        <v>8</v>
      </c>
      <c r="BR102" s="21">
        <v>4</v>
      </c>
      <c r="BS102" s="27">
        <v>8</v>
      </c>
      <c r="BT102" s="27">
        <v>4</v>
      </c>
      <c r="BU102" s="27">
        <v>0</v>
      </c>
      <c r="BV102" s="27">
        <v>0</v>
      </c>
      <c r="BW102" s="27">
        <v>8</v>
      </c>
      <c r="BX102" s="27">
        <v>4</v>
      </c>
      <c r="BY102" s="27">
        <v>8</v>
      </c>
      <c r="BZ102" s="27">
        <v>0</v>
      </c>
      <c r="CA102" s="27">
        <v>8</v>
      </c>
      <c r="CB102" s="27"/>
      <c r="CC102" s="27"/>
      <c r="CD102" s="27"/>
      <c r="CE102" s="8">
        <f t="shared" si="17"/>
        <v>40</v>
      </c>
      <c r="CF102" s="8">
        <f t="shared" si="18"/>
        <v>12</v>
      </c>
      <c r="CG102" s="19">
        <f>IFERROR(INDEX(Settings!$F:$F, MATCH('PROJECT NAME NOV'!$B102 &amp; "-" &amp; 'PROJECT NAME NOV'!$C102, Settings!$H:$H,0)), "")</f>
        <v>106.25</v>
      </c>
      <c r="CH102" s="19">
        <f>IFERROR(INDEX(Settings!$G:$G, MATCH('PROJECT NAME NOV'!$B102 &amp; "-" &amp; 'PROJECT NAME NOV'!$C102, Settings!$H:$H, 0)), "")</f>
        <v>850</v>
      </c>
      <c r="CI102" s="20">
        <f t="shared" si="27"/>
        <v>6162.5</v>
      </c>
      <c r="CJ102" s="20">
        <f t="shared" si="24"/>
        <v>308.125</v>
      </c>
      <c r="CK102" s="19">
        <f t="shared" si="19"/>
        <v>5854.375</v>
      </c>
      <c r="CM102" s="27"/>
      <c r="CN102" s="27"/>
      <c r="CO102" s="27"/>
      <c r="CP102" s="27"/>
      <c r="CQ102" s="27"/>
      <c r="CR102" s="27"/>
      <c r="CS102" s="8">
        <f t="shared" si="43"/>
        <v>0</v>
      </c>
      <c r="CT102" s="8">
        <f t="shared" si="66"/>
        <v>0</v>
      </c>
      <c r="CU102" s="19">
        <f>IFERROR(INDEX(Settings!$F:$F, MATCH('PROJECT NAME NOV'!$B102 &amp; "-" &amp; 'PROJECT NAME NOV'!$C102, Settings!$H:$H,0)), "")</f>
        <v>106.25</v>
      </c>
      <c r="CV102" s="19">
        <f>IFERROR(INDEX(Settings!$G:$G, MATCH('PROJECT NAME NOV'!$B102 &amp; "-" &amp; 'PROJECT NAME NOV'!$C102, Settings!$H:$H, 0)), "")</f>
        <v>850</v>
      </c>
      <c r="CW102" s="19">
        <f t="shared" si="62"/>
        <v>0</v>
      </c>
      <c r="CX102" s="20">
        <f t="shared" si="21"/>
        <v>0</v>
      </c>
      <c r="CY102" s="19">
        <f t="shared" si="45"/>
        <v>0</v>
      </c>
    </row>
    <row r="103" spans="2:103" x14ac:dyDescent="0.3">
      <c r="B103" s="3"/>
      <c r="C103" s="3"/>
      <c r="D103" s="3"/>
      <c r="E103" s="3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8">
        <f t="shared" si="63"/>
        <v>0</v>
      </c>
      <c r="S103" s="8">
        <f t="shared" si="64"/>
        <v>0</v>
      </c>
      <c r="T103" s="19">
        <f>IFERROR(INDEX(Settings!$F:$F, MATCH('PROJECT NAME NOV'!$B103 &amp; "-" &amp; 'PROJECT NAME NOV'!$C103, Settings!$H:$H,0)), "")</f>
        <v>0</v>
      </c>
      <c r="U103" s="19">
        <f>IFERROR(INDEX(Settings!$G:$G, MATCH('PROJECT NAME NOV'!$B103 &amp; "-" &amp; 'PROJECT NAME NOV'!$C103, Settings!$H:$H, 0)), "")</f>
        <v>0</v>
      </c>
      <c r="V103" s="20">
        <f t="shared" si="25"/>
        <v>0</v>
      </c>
      <c r="W103" s="20">
        <f t="shared" si="22"/>
        <v>0</v>
      </c>
      <c r="X103" s="19">
        <f t="shared" si="8"/>
        <v>0</v>
      </c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44">
        <f>IFERROR(INDEX(Settings!$F:$F, MATCH('PROJECT NAME NOV'!$B103 &amp; "-" &amp; 'PROJECT NAME NOV'!$C103, Settings!$H:$H,0)), "")</f>
        <v>0</v>
      </c>
      <c r="AN103" s="44">
        <f>IFERROR(INDEX(Settings!$G:$G, MATCH('PROJECT NAME NOV'!$B103 &amp; "-" &amp; 'PROJECT NAME NOV'!$C103, Settings!$H:$H, 0)), "")</f>
        <v>0</v>
      </c>
      <c r="AO103" s="21">
        <f t="shared" si="9"/>
        <v>0</v>
      </c>
      <c r="AP103" s="21">
        <f t="shared" si="10"/>
        <v>0</v>
      </c>
      <c r="AQ103" s="44">
        <f t="shared" si="11"/>
        <v>0</v>
      </c>
      <c r="AR103" s="44">
        <f t="shared" si="12"/>
        <v>0</v>
      </c>
      <c r="AS103" s="44">
        <f t="shared" si="13"/>
        <v>0</v>
      </c>
      <c r="AT103" s="59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8">
        <f t="shared" si="14"/>
        <v>0</v>
      </c>
      <c r="BJ103" s="8">
        <f t="shared" si="15"/>
        <v>0</v>
      </c>
      <c r="BK103" s="19">
        <f>IFERROR(INDEX(Settings!$F:$F, MATCH('PROJECT NAME NOV'!$B103 &amp; "-" &amp; 'PROJECT NAME NOV'!$C103, Settings!$H:$H,0)), "")</f>
        <v>0</v>
      </c>
      <c r="BL103" s="19">
        <f>IFERROR(INDEX(Settings!$G:$G, MATCH('PROJECT NAME NOV'!$B103 &amp; "-" &amp; 'PROJECT NAME NOV'!$C103, Settings!$H:$H, 0)), "")</f>
        <v>0</v>
      </c>
      <c r="BM103" s="20">
        <f t="shared" si="26"/>
        <v>0</v>
      </c>
      <c r="BN103" s="20">
        <f t="shared" si="23"/>
        <v>0</v>
      </c>
      <c r="BO103" s="19">
        <f t="shared" si="16"/>
        <v>0</v>
      </c>
      <c r="BP103" s="54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8">
        <f t="shared" si="17"/>
        <v>0</v>
      </c>
      <c r="CF103" s="8">
        <f t="shared" si="18"/>
        <v>0</v>
      </c>
      <c r="CG103" s="19">
        <f>IFERROR(INDEX(Settings!$F:$F, MATCH('PROJECT NAME NOV'!$B103 &amp; "-" &amp; 'PROJECT NAME NOV'!$C103, Settings!$H:$H,0)), "")</f>
        <v>0</v>
      </c>
      <c r="CH103" s="19">
        <f>IFERROR(INDEX(Settings!$G:$G, MATCH('PROJECT NAME NOV'!$B103 &amp; "-" &amp; 'PROJECT NAME NOV'!$C103, Settings!$H:$H, 0)), "")</f>
        <v>0</v>
      </c>
      <c r="CI103" s="20">
        <f t="shared" si="27"/>
        <v>0</v>
      </c>
      <c r="CJ103" s="20">
        <f t="shared" si="24"/>
        <v>0</v>
      </c>
      <c r="CK103" s="19">
        <f t="shared" si="19"/>
        <v>0</v>
      </c>
      <c r="CM103" s="27"/>
      <c r="CN103" s="27"/>
      <c r="CO103" s="27"/>
      <c r="CP103" s="27"/>
      <c r="CQ103" s="27"/>
      <c r="CR103" s="27"/>
      <c r="CS103" s="8">
        <f t="shared" si="43"/>
        <v>0</v>
      </c>
      <c r="CT103" s="8">
        <f t="shared" si="66"/>
        <v>0</v>
      </c>
      <c r="CU103" s="19">
        <f>IFERROR(INDEX(Settings!$F:$F, MATCH('PROJECT NAME NOV'!$B103 &amp; "-" &amp; 'PROJECT NAME NOV'!$C103, Settings!$H:$H,0)), "")</f>
        <v>0</v>
      </c>
      <c r="CV103" s="19">
        <f>IFERROR(INDEX(Settings!$G:$G, MATCH('PROJECT NAME NOV'!$B103 &amp; "-" &amp; 'PROJECT NAME NOV'!$C103, Settings!$H:$H, 0)), "")</f>
        <v>0</v>
      </c>
      <c r="CW103" s="19">
        <f t="shared" si="62"/>
        <v>0</v>
      </c>
      <c r="CX103" s="20">
        <f t="shared" si="21"/>
        <v>0</v>
      </c>
      <c r="CY103" s="19">
        <f t="shared" si="45"/>
        <v>0</v>
      </c>
    </row>
    <row r="104" spans="2:103" x14ac:dyDescent="0.3">
      <c r="B104" s="3"/>
      <c r="C104" s="3"/>
      <c r="D104" s="3"/>
      <c r="E104" s="3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8">
        <f t="shared" si="63"/>
        <v>0</v>
      </c>
      <c r="S104" s="8">
        <f t="shared" si="64"/>
        <v>0</v>
      </c>
      <c r="T104" s="19">
        <f>IFERROR(INDEX(Settings!$F:$F, MATCH('PROJECT NAME NOV'!$B104 &amp; "-" &amp; 'PROJECT NAME NOV'!$C104, Settings!$H:$H,0)), "")</f>
        <v>0</v>
      </c>
      <c r="U104" s="19">
        <f>IFERROR(INDEX(Settings!$G:$G, MATCH('PROJECT NAME NOV'!$B104 &amp; "-" &amp; 'PROJECT NAME NOV'!$C104, Settings!$H:$H, 0)), "")</f>
        <v>0</v>
      </c>
      <c r="V104" s="20">
        <f t="shared" si="25"/>
        <v>0</v>
      </c>
      <c r="W104" s="20">
        <f t="shared" si="22"/>
        <v>0</v>
      </c>
      <c r="X104" s="19">
        <f t="shared" si="8"/>
        <v>0</v>
      </c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44">
        <f>IFERROR(INDEX(Settings!$F:$F, MATCH('PROJECT NAME NOV'!$B104 &amp; "-" &amp; 'PROJECT NAME NOV'!$C104, Settings!$H:$H,0)), "")</f>
        <v>0</v>
      </c>
      <c r="AN104" s="44">
        <f>IFERROR(INDEX(Settings!$G:$G, MATCH('PROJECT NAME NOV'!$B104 &amp; "-" &amp; 'PROJECT NAME NOV'!$C104, Settings!$H:$H, 0)), "")</f>
        <v>0</v>
      </c>
      <c r="AO104" s="21">
        <f t="shared" si="9"/>
        <v>0</v>
      </c>
      <c r="AP104" s="21">
        <f t="shared" si="10"/>
        <v>0</v>
      </c>
      <c r="AQ104" s="44">
        <f t="shared" si="11"/>
        <v>0</v>
      </c>
      <c r="AR104" s="44">
        <f t="shared" si="12"/>
        <v>0</v>
      </c>
      <c r="AS104" s="44">
        <f t="shared" si="13"/>
        <v>0</v>
      </c>
      <c r="AT104" s="59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8">
        <f t="shared" si="14"/>
        <v>0</v>
      </c>
      <c r="BJ104" s="8">
        <f t="shared" si="15"/>
        <v>0</v>
      </c>
      <c r="BK104" s="19">
        <f>IFERROR(INDEX(Settings!$F:$F, MATCH('PROJECT NAME NOV'!$B104 &amp; "-" &amp; 'PROJECT NAME NOV'!$C104, Settings!$H:$H,0)), "")</f>
        <v>0</v>
      </c>
      <c r="BL104" s="19">
        <f>IFERROR(INDEX(Settings!$G:$G, MATCH('PROJECT NAME NOV'!$B104 &amp; "-" &amp; 'PROJECT NAME NOV'!$C104, Settings!$H:$H, 0)), "")</f>
        <v>0</v>
      </c>
      <c r="BM104" s="20">
        <f t="shared" si="26"/>
        <v>0</v>
      </c>
      <c r="BN104" s="20">
        <f t="shared" si="23"/>
        <v>0</v>
      </c>
      <c r="BO104" s="19">
        <f t="shared" si="16"/>
        <v>0</v>
      </c>
      <c r="BP104" s="54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8">
        <f t="shared" si="17"/>
        <v>0</v>
      </c>
      <c r="CF104" s="8">
        <f t="shared" si="18"/>
        <v>0</v>
      </c>
      <c r="CG104" s="19">
        <f>IFERROR(INDEX(Settings!$F:$F, MATCH('PROJECT NAME NOV'!$B104 &amp; "-" &amp; 'PROJECT NAME NOV'!$C104, Settings!$H:$H,0)), "")</f>
        <v>0</v>
      </c>
      <c r="CH104" s="19">
        <f>IFERROR(INDEX(Settings!$G:$G, MATCH('PROJECT NAME NOV'!$B104 &amp; "-" &amp; 'PROJECT NAME NOV'!$C104, Settings!$H:$H, 0)), "")</f>
        <v>0</v>
      </c>
      <c r="CI104" s="20">
        <f t="shared" si="27"/>
        <v>0</v>
      </c>
      <c r="CJ104" s="20">
        <f t="shared" si="24"/>
        <v>0</v>
      </c>
      <c r="CK104" s="19">
        <f t="shared" si="19"/>
        <v>0</v>
      </c>
      <c r="CM104" s="27"/>
      <c r="CN104" s="27"/>
      <c r="CO104" s="27"/>
      <c r="CP104" s="27"/>
      <c r="CQ104" s="27"/>
      <c r="CR104" s="27"/>
      <c r="CS104" s="8">
        <f t="shared" si="43"/>
        <v>0</v>
      </c>
      <c r="CT104" s="8">
        <f t="shared" si="66"/>
        <v>0</v>
      </c>
      <c r="CU104" s="19">
        <f>IFERROR(INDEX(Settings!$F:$F, MATCH('PROJECT NAME NOV'!$B104 &amp; "-" &amp; 'PROJECT NAME NOV'!$C104, Settings!$H:$H,0)), "")</f>
        <v>0</v>
      </c>
      <c r="CV104" s="19">
        <f>IFERROR(INDEX(Settings!$G:$G, MATCH('PROJECT NAME NOV'!$B104 &amp; "-" &amp; 'PROJECT NAME NOV'!$C104, Settings!$H:$H, 0)), "")</f>
        <v>0</v>
      </c>
      <c r="CW104" s="19">
        <f t="shared" si="62"/>
        <v>0</v>
      </c>
      <c r="CX104" s="20">
        <f t="shared" si="21"/>
        <v>0</v>
      </c>
      <c r="CY104" s="19">
        <f t="shared" ref="CY104:CY106" si="67">CW104-CX104</f>
        <v>0</v>
      </c>
    </row>
    <row r="105" spans="2:103" x14ac:dyDescent="0.3">
      <c r="B105" s="3"/>
      <c r="C105" s="3"/>
      <c r="D105" s="3"/>
      <c r="E105" s="3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8">
        <f t="shared" si="63"/>
        <v>0</v>
      </c>
      <c r="S105" s="8">
        <f t="shared" si="64"/>
        <v>0</v>
      </c>
      <c r="T105" s="19">
        <f>IFERROR(INDEX(Settings!$F:$F, MATCH('PROJECT NAME NOV'!$B105 &amp; "-" &amp; 'PROJECT NAME NOV'!$C105, Settings!$H:$H,0)), "")</f>
        <v>0</v>
      </c>
      <c r="U105" s="19">
        <f>IFERROR(INDEX(Settings!$G:$G, MATCH('PROJECT NAME NOV'!$B105 &amp; "-" &amp; 'PROJECT NAME NOV'!$C105, Settings!$H:$H, 0)), "")</f>
        <v>0</v>
      </c>
      <c r="V105" s="20">
        <f t="shared" si="25"/>
        <v>0</v>
      </c>
      <c r="W105" s="20">
        <f t="shared" si="22"/>
        <v>0</v>
      </c>
      <c r="X105" s="19">
        <f>V105-W105</f>
        <v>0</v>
      </c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44">
        <f>IFERROR(INDEX(Settings!$F:$F, MATCH('PROJECT NAME NOV'!$B105 &amp; "-" &amp; 'PROJECT NAME NOV'!$C105, Settings!$H:$H,0)), "")</f>
        <v>0</v>
      </c>
      <c r="AN105" s="44">
        <f>IFERROR(INDEX(Settings!$G:$G, MATCH('PROJECT NAME NOV'!$B105 &amp; "-" &amp; 'PROJECT NAME NOV'!$C105, Settings!$H:$H, 0)), "")</f>
        <v>0</v>
      </c>
      <c r="AO105" s="21">
        <f>SUM(Y105,AA105,AC105,AE105,AG105,AI105,AK105)</f>
        <v>0</v>
      </c>
      <c r="AP105" s="21">
        <f>SUM(Z105,AB105,AD105,AF105,AH105,AJ105,AL105)</f>
        <v>0</v>
      </c>
      <c r="AQ105" s="44">
        <f>(AO105*AM105)+(AP105*AM105)</f>
        <v>0</v>
      </c>
      <c r="AR105" s="44">
        <f>AQ105*5%</f>
        <v>0</v>
      </c>
      <c r="AS105" s="44">
        <f>AQ105-AR105</f>
        <v>0</v>
      </c>
      <c r="AT105" s="59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8">
        <f>SUM(AU105,AW105,AY105,BA105,BC105,BE105,BG105)</f>
        <v>0</v>
      </c>
      <c r="BJ105" s="8">
        <f>SUM(AV105,AX105,AZ105,BB105,BD105,BF105,BH105)</f>
        <v>0</v>
      </c>
      <c r="BK105" s="19">
        <f>IFERROR(INDEX(Settings!$F:$F, MATCH('PROJECT NAME NOV'!$B105 &amp; "-" &amp; 'PROJECT NAME NOV'!$C105, Settings!$H:$H,0)), "")</f>
        <v>0</v>
      </c>
      <c r="BL105" s="19">
        <f>IFERROR(INDEX(Settings!$G:$G, MATCH('PROJECT NAME NOV'!$B105 &amp; "-" &amp; 'PROJECT NAME NOV'!$C105, Settings!$H:$H, 0)), "")</f>
        <v>0</v>
      </c>
      <c r="BM105" s="20">
        <f t="shared" si="26"/>
        <v>0</v>
      </c>
      <c r="BN105" s="20">
        <f t="shared" si="23"/>
        <v>0</v>
      </c>
      <c r="BO105" s="19">
        <f>BM105-BN105</f>
        <v>0</v>
      </c>
      <c r="BP105" s="54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8">
        <f>SUM(BQ105,BS105,BU105,BW105,BY105,CA105,CC105)</f>
        <v>0</v>
      </c>
      <c r="CF105" s="8">
        <f>SUM(BR105,BT105,BV105,BX105,BZ105,CB105,CD105)</f>
        <v>0</v>
      </c>
      <c r="CG105" s="19">
        <f>IFERROR(INDEX(Settings!$F:$F, MATCH('PROJECT NAME NOV'!$B105 &amp; "-" &amp; 'PROJECT NAME NOV'!$C105, Settings!$H:$H,0)), "")</f>
        <v>0</v>
      </c>
      <c r="CH105" s="19">
        <f>IFERROR(INDEX(Settings!$G:$G, MATCH('PROJECT NAME NOV'!$B105 &amp; "-" &amp; 'PROJECT NAME NOV'!$C105, Settings!$H:$H, 0)), "")</f>
        <v>0</v>
      </c>
      <c r="CI105" s="20">
        <f t="shared" si="27"/>
        <v>0</v>
      </c>
      <c r="CJ105" s="20">
        <f t="shared" si="24"/>
        <v>0</v>
      </c>
      <c r="CK105" s="19">
        <f>CI105-CJ105</f>
        <v>0</v>
      </c>
      <c r="CM105" s="27"/>
      <c r="CN105" s="27"/>
      <c r="CO105" s="27"/>
      <c r="CP105" s="27"/>
      <c r="CQ105" s="27"/>
      <c r="CR105" s="27"/>
      <c r="CS105" s="8">
        <f t="shared" si="43"/>
        <v>0</v>
      </c>
      <c r="CT105" s="8">
        <f t="shared" si="66"/>
        <v>0</v>
      </c>
      <c r="CU105" s="19">
        <f>IFERROR(INDEX(Settings!$F:$F, MATCH('PROJECT NAME NOV'!$B105 &amp; "-" &amp; 'PROJECT NAME NOV'!$C105, Settings!$H:$H,0)), "")</f>
        <v>0</v>
      </c>
      <c r="CV105" s="19">
        <f>IFERROR(INDEX(Settings!$G:$G, MATCH('PROJECT NAME NOV'!$B105 &amp; "-" &amp; 'PROJECT NAME NOV'!$C105, Settings!$H:$H, 0)), "")</f>
        <v>0</v>
      </c>
      <c r="CW105" s="19">
        <f t="shared" si="62"/>
        <v>0</v>
      </c>
      <c r="CX105" s="20">
        <f>CW105*5%</f>
        <v>0</v>
      </c>
      <c r="CY105" s="19">
        <f t="shared" si="67"/>
        <v>0</v>
      </c>
    </row>
    <row r="106" spans="2:103" x14ac:dyDescent="0.3">
      <c r="B106" s="3"/>
      <c r="C106" s="3"/>
      <c r="D106" s="3"/>
      <c r="E106" s="3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8">
        <f t="shared" si="63"/>
        <v>0</v>
      </c>
      <c r="S106" s="8">
        <f t="shared" si="64"/>
        <v>0</v>
      </c>
      <c r="T106" s="19">
        <f>IFERROR(INDEX(Settings!$F:$F, MATCH('PROJECT NAME NOV'!$B106 &amp; "-" &amp; 'PROJECT NAME NOV'!$C106, Settings!$H:$H,0)), "")</f>
        <v>0</v>
      </c>
      <c r="U106" s="19">
        <f>IFERROR(INDEX(Settings!$G:$G, MATCH('PROJECT NAME NOV'!$B106 &amp; "-" &amp; 'PROJECT NAME NOV'!$C106, Settings!$H:$H, 0)), "")</f>
        <v>0</v>
      </c>
      <c r="V106" s="20">
        <f t="shared" si="25"/>
        <v>0</v>
      </c>
      <c r="W106" s="20">
        <f t="shared" si="22"/>
        <v>0</v>
      </c>
      <c r="X106" s="19">
        <f>V106-W106</f>
        <v>0</v>
      </c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44">
        <f>IFERROR(INDEX(Settings!$F:$F, MATCH('PROJECT NAME NOV'!$B106 &amp; "-" &amp; 'PROJECT NAME NOV'!$C106, Settings!$H:$H,0)), "")</f>
        <v>0</v>
      </c>
      <c r="AN106" s="44">
        <f>IFERROR(INDEX(Settings!$G:$G, MATCH('PROJECT NAME NOV'!$B106 &amp; "-" &amp; 'PROJECT NAME NOV'!$C106, Settings!$H:$H, 0)), "")</f>
        <v>0</v>
      </c>
      <c r="AO106" s="21">
        <f>SUM(Y106,AA106,AC106,AE106,AG106,AI106,AK106)</f>
        <v>0</v>
      </c>
      <c r="AP106" s="21">
        <f>SUM(Z106,AB106,AD106,AF106,AH106,AJ106,AL106)</f>
        <v>0</v>
      </c>
      <c r="AQ106" s="44">
        <f>(AO106*AM106)+(AP106*AM106)</f>
        <v>0</v>
      </c>
      <c r="AR106" s="44">
        <f>AQ106*5%</f>
        <v>0</v>
      </c>
      <c r="AS106" s="44">
        <f>AQ106-AR106</f>
        <v>0</v>
      </c>
      <c r="AT106" s="59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8">
        <f>SUM(AU106,AW106,AY106,BA106,BC106,BE106,BG106)</f>
        <v>0</v>
      </c>
      <c r="BJ106" s="8">
        <f>SUM(AV106,AX106,AZ106,BB106,BD106,BF106,BH106)</f>
        <v>0</v>
      </c>
      <c r="BK106" s="19">
        <f>IFERROR(INDEX(Settings!$F:$F, MATCH('PROJECT NAME NOV'!$B106 &amp; "-" &amp; 'PROJECT NAME NOV'!$C106, Settings!$H:$H,0)), "")</f>
        <v>0</v>
      </c>
      <c r="BL106" s="19">
        <f>IFERROR(INDEX(Settings!$G:$G, MATCH('PROJECT NAME NOV'!$B106 &amp; "-" &amp; 'PROJECT NAME NOV'!$C106, Settings!$H:$H, 0)), "")</f>
        <v>0</v>
      </c>
      <c r="BM106" s="20">
        <f t="shared" si="26"/>
        <v>0</v>
      </c>
      <c r="BN106" s="20">
        <f t="shared" si="23"/>
        <v>0</v>
      </c>
      <c r="BO106" s="19">
        <f>BM106-BN106</f>
        <v>0</v>
      </c>
      <c r="BP106" s="54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8">
        <f>SUM(BQ106,BS106,BU106,BW106,BY106,CA106,CC106)</f>
        <v>0</v>
      </c>
      <c r="CF106" s="8">
        <f>SUM(BR106,BT106,BV106,BX106,BZ106,CB106,CD106)</f>
        <v>0</v>
      </c>
      <c r="CG106" s="19">
        <f>IFERROR(INDEX(Settings!$F:$F, MATCH('PROJECT NAME NOV'!$B106 &amp; "-" &amp; 'PROJECT NAME NOV'!$C106, Settings!$H:$H,0)), "")</f>
        <v>0</v>
      </c>
      <c r="CH106" s="19">
        <f>IFERROR(INDEX(Settings!$G:$G, MATCH('PROJECT NAME NOV'!$B106 &amp; "-" &amp; 'PROJECT NAME NOV'!$C106, Settings!$H:$H, 0)), "")</f>
        <v>0</v>
      </c>
      <c r="CI106" s="20">
        <f t="shared" si="27"/>
        <v>0</v>
      </c>
      <c r="CJ106" s="20">
        <f t="shared" si="24"/>
        <v>0</v>
      </c>
      <c r="CK106" s="19">
        <f>CI106-CJ106</f>
        <v>0</v>
      </c>
      <c r="CM106" s="27"/>
      <c r="CN106" s="27"/>
      <c r="CO106" s="27"/>
      <c r="CP106" s="27"/>
      <c r="CQ106" s="27"/>
      <c r="CR106" s="27"/>
      <c r="CS106" s="8">
        <f t="shared" si="43"/>
        <v>0</v>
      </c>
      <c r="CT106" s="8">
        <f t="shared" si="66"/>
        <v>0</v>
      </c>
      <c r="CU106" s="19">
        <f>IFERROR(INDEX(Settings!$F:$F, MATCH('PROJECT NAME NOV'!$B106 &amp; "-" &amp; 'PROJECT NAME NOV'!$C106, Settings!$H:$H,0)), "")</f>
        <v>0</v>
      </c>
      <c r="CV106" s="19">
        <f>IFERROR(INDEX(Settings!$G:$G, MATCH('PROJECT NAME NOV'!$B106 &amp; "-" &amp; 'PROJECT NAME NOV'!$C106, Settings!$H:$H, 0)), "")</f>
        <v>0</v>
      </c>
      <c r="CW106" s="19">
        <f t="shared" si="62"/>
        <v>0</v>
      </c>
      <c r="CX106" s="20">
        <f>CW106*5%</f>
        <v>0</v>
      </c>
      <c r="CY106" s="19">
        <f t="shared" si="67"/>
        <v>0</v>
      </c>
    </row>
    <row r="117" spans="71:72" x14ac:dyDescent="0.3">
      <c r="BS117" s="5" t="e">
        <f>IFERROR(VLOOKUP(AY7, Settings!M:N, 2, FALSE), VLOOKUP('PROJECT NAME NOV'!AZ7, Settings!I:J, 2, FALSE))</f>
        <v>#N/A</v>
      </c>
      <c r="BT117" s="5" t="e">
        <f>IFERROR(VLOOKUP('PROJECT NAME NOV'!AY7, Settings!M:O, 3, FALSE), VLOOKUP('PROJECT NAME NOV'!AZ7, Settings!I:K, 3, FALSE))</f>
        <v>#N/A</v>
      </c>
    </row>
  </sheetData>
  <mergeCells count="90">
    <mergeCell ref="DA2:DB3"/>
    <mergeCell ref="DC2:DC3"/>
    <mergeCell ref="DD2:DD3"/>
    <mergeCell ref="DE2:DE3"/>
    <mergeCell ref="DA4:DB4"/>
    <mergeCell ref="CU4:CV4"/>
    <mergeCell ref="CU2:CV3"/>
    <mergeCell ref="CW2:CW3"/>
    <mergeCell ref="CX2:CX3"/>
    <mergeCell ref="CY2:CY3"/>
    <mergeCell ref="BY4:BZ4"/>
    <mergeCell ref="CQ4:CR4"/>
    <mergeCell ref="CC4:CD4"/>
    <mergeCell ref="CA4:CB4"/>
    <mergeCell ref="CE4:CF4"/>
    <mergeCell ref="CI4:CJ4"/>
    <mergeCell ref="CG4:CH4"/>
    <mergeCell ref="CM5:CN5"/>
    <mergeCell ref="CO5:CP5"/>
    <mergeCell ref="CQ5:CR5"/>
    <mergeCell ref="CC5:CD5"/>
    <mergeCell ref="BY5:BZ5"/>
    <mergeCell ref="CA5:CB5"/>
    <mergeCell ref="N4:O4"/>
    <mergeCell ref="P4:Q4"/>
    <mergeCell ref="P5:Q5"/>
    <mergeCell ref="F5:G5"/>
    <mergeCell ref="H5:I5"/>
    <mergeCell ref="J5:K5"/>
    <mergeCell ref="L5:M5"/>
    <mergeCell ref="N5:O5"/>
    <mergeCell ref="L4:M4"/>
    <mergeCell ref="F4:G4"/>
    <mergeCell ref="H4:I4"/>
    <mergeCell ref="J4:K4"/>
    <mergeCell ref="AC4:AD4"/>
    <mergeCell ref="AE4:AF4"/>
    <mergeCell ref="X2:X3"/>
    <mergeCell ref="AU5:AV5"/>
    <mergeCell ref="AA5:AB5"/>
    <mergeCell ref="AC5:AD5"/>
    <mergeCell ref="AE5:AF5"/>
    <mergeCell ref="AG5:AH5"/>
    <mergeCell ref="AI5:AJ5"/>
    <mergeCell ref="AK5:AL5"/>
    <mergeCell ref="AM2:AN3"/>
    <mergeCell ref="Y5:Z5"/>
    <mergeCell ref="Y4:Z4"/>
    <mergeCell ref="AR4:AS4"/>
    <mergeCell ref="AA4:AB4"/>
    <mergeCell ref="AG4:AH4"/>
    <mergeCell ref="BE4:BF4"/>
    <mergeCell ref="BG4:BH4"/>
    <mergeCell ref="BM4:BN4"/>
    <mergeCell ref="BK4:BL4"/>
    <mergeCell ref="AW5:AX5"/>
    <mergeCell ref="AY5:AZ5"/>
    <mergeCell ref="BA5:BB5"/>
    <mergeCell ref="BC5:BD5"/>
    <mergeCell ref="BE5:BF5"/>
    <mergeCell ref="BG5:BH5"/>
    <mergeCell ref="BA4:BB4"/>
    <mergeCell ref="BC4:BD4"/>
    <mergeCell ref="BQ5:BR5"/>
    <mergeCell ref="BS5:BT5"/>
    <mergeCell ref="BU5:BV5"/>
    <mergeCell ref="BW5:BX5"/>
    <mergeCell ref="BQ4:BR4"/>
    <mergeCell ref="BS4:BT4"/>
    <mergeCell ref="BU4:BV4"/>
    <mergeCell ref="BW4:BX4"/>
    <mergeCell ref="T2:U3"/>
    <mergeCell ref="V2:V3"/>
    <mergeCell ref="W2:W3"/>
    <mergeCell ref="BN2:BN3"/>
    <mergeCell ref="BK2:BL3"/>
    <mergeCell ref="BM2:BM3"/>
    <mergeCell ref="AI4:AJ4"/>
    <mergeCell ref="AK4:AL4"/>
    <mergeCell ref="AU4:AV4"/>
    <mergeCell ref="AW4:AX4"/>
    <mergeCell ref="AY4:AZ4"/>
    <mergeCell ref="CI2:CI3"/>
    <mergeCell ref="CJ2:CJ3"/>
    <mergeCell ref="CK2:CK3"/>
    <mergeCell ref="CG2:CH3"/>
    <mergeCell ref="AQ2:AQ3"/>
    <mergeCell ref="AR2:AR3"/>
    <mergeCell ref="AS2:AS3"/>
    <mergeCell ref="BO2:BO3"/>
  </mergeCells>
  <phoneticPr fontId="15" type="noConversion"/>
  <conditionalFormatting sqref="Y7:AL34">
    <cfRule type="colorScale" priority="92">
      <colorScale>
        <cfvo type="min"/>
        <cfvo type="max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5:AU94 AW54:AW94 AY54:AY94 BA54:BA94">
    <cfRule type="colorScale" priority="335">
      <colorScale>
        <cfvo type="min"/>
        <cfvo type="max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0 AY50 BA50">
    <cfRule type="colorScale" priority="24">
      <colorScale>
        <cfvo type="min"/>
        <cfvo type="max"/>
        <color rgb="FFFCFCFF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1 AY51 BA51">
    <cfRule type="colorScale" priority="22">
      <colorScale>
        <cfvo type="min"/>
        <cfvo type="max"/>
        <color rgb="FFFCFCFF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2 AY52 BA52">
    <cfRule type="colorScale" priority="20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3 AY53 BA53">
    <cfRule type="colorScale" priority="18">
      <colorScale>
        <cfvo type="min"/>
        <cfvo type="max"/>
        <color rgb="FFFCFCFF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95:BH133 AX7:BE94 BH7:BH94 BQ7:BR7 BQ8:CD8 BS10:CD10 CB84:CD84 BV36 BV38 BR20:CA21 BQ9:BR81 BQ103:BR133">
    <cfRule type="colorScale" priority="130">
      <colorScale>
        <cfvo type="min"/>
        <cfvo type="max"/>
        <color rgb="FFFCFCFF"/>
        <color rgb="FF63BE7B"/>
      </colorScale>
    </cfRule>
  </conditionalFormatting>
  <conditionalFormatting sqref="BF7:BH106">
    <cfRule type="colorScale" priority="351">
      <colorScale>
        <cfvo type="min"/>
        <cfvo type="max"/>
        <color rgb="FFFCFCFF"/>
        <color rgb="FF63BE7B"/>
      </colorScale>
    </cfRule>
  </conditionalFormatting>
  <conditionalFormatting sqref="BQ82:CA102">
    <cfRule type="colorScale" priority="3">
      <colorScale>
        <cfvo type="min"/>
        <cfvo type="max"/>
        <color rgb="FFFCFCFF"/>
        <color rgb="FF63BE7B"/>
      </colorScale>
    </cfRule>
  </conditionalFormatting>
  <conditionalFormatting sqref="BQ84:CA84 BQ82:BR83 BQ85:BR102 BV85 BV87">
    <cfRule type="colorScale" priority="7">
      <colorScale>
        <cfvo type="min"/>
        <cfvo type="max"/>
        <color rgb="FFFCFCFF"/>
        <color rgb="FF63BE7B"/>
      </colorScale>
    </cfRule>
  </conditionalFormatting>
  <conditionalFormatting sqref="BQ7:CD81 BQ103:CD106 CB82:CD102">
    <cfRule type="colorScale" priority="353">
      <colorScale>
        <cfvo type="min"/>
        <cfvo type="max"/>
        <color rgb="FFFCFCFF"/>
        <color rgb="FF63BE7B"/>
      </colorScale>
    </cfRule>
  </conditionalFormatting>
  <conditionalFormatting sqref="BQ7:CD81 CB82:CD97">
    <cfRule type="colorScale" priority="11">
      <colorScale>
        <cfvo type="min"/>
        <cfvo type="max"/>
        <color rgb="FFFCFCFF"/>
        <color rgb="FF63BE7B"/>
      </colorScale>
    </cfRule>
  </conditionalFormatting>
  <conditionalFormatting sqref="BS84:CA84 BQ82:BR102 BV85 BV87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82:BV102 BY98:BY102 BQ82:BR102 BS82:BU97 BW82:CA97 CA98:CA102">
    <cfRule type="colorScale" priority="4">
      <colorScale>
        <cfvo type="min"/>
        <cfvo type="max"/>
        <color rgb="FFFCFCFF"/>
        <color rgb="FF63BE7B"/>
      </colorScale>
    </cfRule>
  </conditionalFormatting>
  <conditionalFormatting sqref="CB84:CD84 AW36:AW49 AY36:AY49 BA36:BB49 BC36:BC81 BB50:BB81 AX36:AX94 AU25:AY35 AZ25:AZ94 AV36:AV94 BA35:BC35 AU7:BC7 AU8:BB24 BA25:BB34 BC8:BC34 BD7:BE94 BH7:BH94 BQ7:BR7 BQ8:CD8 BS10:CD10 BV36 BV38 AU36:AU54 BR20:CA21 BQ9:BR81">
    <cfRule type="colorScale" priority="94">
      <colorScale>
        <cfvo type="min"/>
        <cfvo type="max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7:CP34">
    <cfRule type="colorScale" priority="8">
      <colorScale>
        <cfvo type="min"/>
        <cfvo type="max"/>
        <color rgb="FFFCFCFF"/>
        <color rgb="FF63BE7B"/>
      </colorScale>
    </cfRule>
  </conditionalFormatting>
  <conditionalFormatting sqref="CM35:CR106 CQ7:CR34">
    <cfRule type="colorScale" priority="355">
      <colorScale>
        <cfvo type="min"/>
        <cfvo type="max"/>
        <color rgb="FFFCFCFF"/>
        <color rgb="FF63BE7B"/>
      </colorScale>
    </cfRule>
  </conditionalFormatting>
  <conditionalFormatting sqref="F15:O2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Settings!$A:$A</xm:f>
          </x14:formula1>
          <xm:sqref>C7:C102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showGridLines="0" workbookViewId="0">
      <selection activeCell="A4" sqref="A4"/>
    </sheetView>
  </sheetViews>
  <sheetFormatPr defaultRowHeight="14.4" x14ac:dyDescent="0.3"/>
  <cols>
    <col min="1" max="1" width="17.5546875" bestFit="1" customWidth="1"/>
    <col min="2" max="2" width="16.44140625" bestFit="1" customWidth="1"/>
  </cols>
  <sheetData>
    <row r="3" spans="1:2" x14ac:dyDescent="0.3">
      <c r="A3" s="83" t="s">
        <v>126</v>
      </c>
      <c r="B3" t="s">
        <v>125</v>
      </c>
    </row>
    <row r="4" spans="1:2" x14ac:dyDescent="0.3">
      <c r="A4" s="84" t="s">
        <v>107</v>
      </c>
      <c r="B4">
        <v>159600</v>
      </c>
    </row>
    <row r="5" spans="1:2" x14ac:dyDescent="0.3">
      <c r="A5" s="84" t="s">
        <v>109</v>
      </c>
      <c r="B5">
        <v>15607.2</v>
      </c>
    </row>
    <row r="6" spans="1:2" x14ac:dyDescent="0.3">
      <c r="A6" s="84" t="s">
        <v>110</v>
      </c>
      <c r="B6">
        <v>0</v>
      </c>
    </row>
    <row r="7" spans="1:2" x14ac:dyDescent="0.3">
      <c r="A7" s="84" t="s">
        <v>124</v>
      </c>
      <c r="B7">
        <v>175207.2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P59"/>
  <sheetViews>
    <sheetView showGridLines="0" tabSelected="1" zoomScaleNormal="100" workbookViewId="0">
      <pane xSplit="5" ySplit="6" topLeftCell="AC7" activePane="bottomRight" state="frozen"/>
      <selection pane="topRight" activeCell="F1" sqref="F1"/>
      <selection pane="bottomLeft" activeCell="A7" sqref="A7"/>
      <selection pane="bottomRight" activeCell="AN9" sqref="AN9"/>
    </sheetView>
  </sheetViews>
  <sheetFormatPr defaultRowHeight="14.4" x14ac:dyDescent="0.3"/>
  <cols>
    <col min="1" max="1" width="0.5546875" customWidth="1"/>
    <col min="2" max="2" width="16.44140625" bestFit="1" customWidth="1"/>
    <col min="3" max="3" width="20.5546875" customWidth="1"/>
    <col min="4" max="4" width="13.44140625" customWidth="1"/>
    <col min="5" max="5" width="19.33203125" customWidth="1"/>
    <col min="6" max="7" width="10.109375" customWidth="1"/>
    <col min="8" max="17" width="11.6640625" customWidth="1"/>
    <col min="18" max="18" width="9.88671875" style="7" bestFit="1" customWidth="1"/>
    <col min="19" max="19" width="8.109375" style="7" bestFit="1" customWidth="1"/>
    <col min="20" max="20" width="10.109375" bestFit="1" customWidth="1"/>
    <col min="21" max="21" width="11.109375" customWidth="1"/>
    <col min="22" max="22" width="16" customWidth="1"/>
    <col min="23" max="23" width="13.33203125" bestFit="1" customWidth="1"/>
    <col min="24" max="24" width="19" customWidth="1"/>
    <col min="25" max="38" width="11.6640625" customWidth="1"/>
    <col min="39" max="39" width="10.109375" style="7" bestFit="1" customWidth="1"/>
    <col min="40" max="40" width="11.109375" style="7" customWidth="1"/>
    <col min="41" max="41" width="9.88671875" style="7" bestFit="1" customWidth="1"/>
    <col min="42" max="42" width="8.109375" style="7" bestFit="1" customWidth="1"/>
    <col min="43" max="43" width="16" style="7" customWidth="1"/>
    <col min="44" max="44" width="13.33203125" style="7" bestFit="1" customWidth="1"/>
    <col min="45" max="45" width="19" style="22" customWidth="1"/>
    <col min="46" max="46" width="3.33203125" style="56" customWidth="1"/>
    <col min="47" max="48" width="10.6640625" customWidth="1"/>
    <col min="49" max="49" width="10.6640625" style="7" bestFit="1" customWidth="1"/>
    <col min="50" max="50" width="8.5546875" style="7" bestFit="1" customWidth="1"/>
    <col min="51" max="51" width="10.6640625" style="7" bestFit="1" customWidth="1"/>
    <col min="52" max="52" width="9" style="7" bestFit="1" customWidth="1"/>
    <col min="53" max="53" width="10.6640625" style="7" bestFit="1" customWidth="1"/>
    <col min="54" max="54" width="9" style="7" bestFit="1" customWidth="1"/>
    <col min="55" max="55" width="10.6640625" style="7" bestFit="1" customWidth="1"/>
    <col min="56" max="56" width="9" style="7" bestFit="1" customWidth="1"/>
    <col min="57" max="57" width="10.6640625" style="7" bestFit="1" customWidth="1"/>
    <col min="58" max="58" width="9" style="7" bestFit="1" customWidth="1"/>
    <col min="59" max="59" width="10.6640625" style="7" bestFit="1" customWidth="1"/>
    <col min="60" max="60" width="9" bestFit="1" customWidth="1"/>
    <col min="61" max="61" width="9.88671875" style="7" bestFit="1" customWidth="1"/>
    <col min="62" max="62" width="8.109375" style="7" bestFit="1" customWidth="1"/>
    <col min="63" max="63" width="10.109375" bestFit="1" customWidth="1"/>
    <col min="64" max="64" width="11.109375" customWidth="1"/>
    <col min="65" max="65" width="16" customWidth="1"/>
    <col min="66" max="66" width="13.33203125" bestFit="1" customWidth="1"/>
    <col min="67" max="67" width="19" customWidth="1"/>
    <col min="68" max="68" width="3.5546875" style="56" customWidth="1"/>
    <col min="69" max="69" width="10.6640625" bestFit="1" customWidth="1"/>
    <col min="70" max="70" width="9" bestFit="1" customWidth="1"/>
    <col min="83" max="83" width="9.88671875" style="7" bestFit="1" customWidth="1"/>
    <col min="84" max="84" width="8.109375" style="7" bestFit="1" customWidth="1"/>
    <col min="85" max="85" width="10.109375" bestFit="1" customWidth="1"/>
    <col min="86" max="86" width="11.109375" customWidth="1"/>
    <col min="87" max="87" width="16" customWidth="1"/>
    <col min="88" max="88" width="16.33203125" customWidth="1"/>
    <col min="89" max="89" width="19" customWidth="1"/>
    <col min="90" max="90" width="2.44140625" style="56" customWidth="1"/>
    <col min="97" max="97" width="9.88671875" style="7" bestFit="1" customWidth="1"/>
    <col min="98" max="98" width="8.109375" style="7" bestFit="1" customWidth="1"/>
    <col min="99" max="99" width="10.109375" bestFit="1" customWidth="1"/>
    <col min="100" max="100" width="11.109375" customWidth="1"/>
    <col min="101" max="101" width="16" customWidth="1"/>
    <col min="102" max="102" width="15.6640625" customWidth="1"/>
    <col min="103" max="103" width="19" customWidth="1"/>
    <col min="105" max="105" width="17.5546875" bestFit="1" customWidth="1"/>
    <col min="106" max="106" width="36.109375" bestFit="1" customWidth="1"/>
    <col min="107" max="107" width="17.5546875" bestFit="1" customWidth="1"/>
    <col min="108" max="108" width="21.109375" customWidth="1"/>
    <col min="109" max="109" width="19" customWidth="1"/>
    <col min="110" max="110" width="14.6640625" customWidth="1"/>
    <col min="111" max="111" width="24.6640625" customWidth="1"/>
    <col min="112" max="112" width="28.5546875" hidden="1" customWidth="1"/>
    <col min="115" max="115" width="12.5546875" style="22" customWidth="1"/>
    <col min="116" max="116" width="64" customWidth="1"/>
    <col min="117" max="118" width="11.109375" style="7" customWidth="1"/>
    <col min="119" max="119" width="13.5546875" style="103" customWidth="1"/>
    <col min="120" max="120" width="11.109375" style="103" customWidth="1"/>
  </cols>
  <sheetData>
    <row r="1" spans="2:120" s="6" customFormat="1" ht="38.25" customHeight="1" x14ac:dyDescent="0.45">
      <c r="B1" s="38" t="s">
        <v>251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114" t="s">
        <v>11</v>
      </c>
      <c r="W1" s="64" t="s">
        <v>176</v>
      </c>
      <c r="X1" s="115" t="s">
        <v>36</v>
      </c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5"/>
      <c r="AN1" s="35"/>
      <c r="AO1" s="39"/>
      <c r="AP1" s="39"/>
      <c r="AQ1" s="114" t="s">
        <v>11</v>
      </c>
      <c r="AR1" s="116" t="s">
        <v>176</v>
      </c>
      <c r="AS1" s="117" t="s">
        <v>36</v>
      </c>
      <c r="AT1" s="4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5"/>
      <c r="BG1" s="35"/>
      <c r="BH1" s="39"/>
      <c r="BI1" s="39"/>
      <c r="BJ1" s="39"/>
      <c r="BK1" s="39"/>
      <c r="BL1" s="39"/>
      <c r="BM1" s="114" t="s">
        <v>11</v>
      </c>
      <c r="BN1" s="106" t="s">
        <v>176</v>
      </c>
      <c r="BO1" s="190" t="s">
        <v>36</v>
      </c>
      <c r="BP1" s="194"/>
      <c r="BQ1" s="67"/>
      <c r="BR1" s="67"/>
      <c r="CE1" s="67"/>
      <c r="CF1" s="67"/>
      <c r="CG1" s="39"/>
      <c r="CH1" s="39"/>
      <c r="CI1" s="114" t="s">
        <v>11</v>
      </c>
      <c r="CJ1" s="106" t="s">
        <v>176</v>
      </c>
      <c r="CK1" s="118" t="s">
        <v>36</v>
      </c>
      <c r="CL1" s="61"/>
      <c r="CS1" s="67"/>
      <c r="CT1" s="67"/>
      <c r="CU1" s="39"/>
      <c r="CV1" s="39"/>
      <c r="CW1" s="122" t="s">
        <v>11</v>
      </c>
      <c r="CX1" s="106" t="s">
        <v>176</v>
      </c>
      <c r="CY1" s="118" t="s">
        <v>36</v>
      </c>
      <c r="DA1" s="113"/>
      <c r="DB1" s="113"/>
      <c r="DC1" s="119" t="s">
        <v>11</v>
      </c>
      <c r="DD1" s="120" t="s">
        <v>173</v>
      </c>
      <c r="DE1" s="121" t="s">
        <v>174</v>
      </c>
      <c r="DF1" s="113"/>
      <c r="DG1" s="113"/>
      <c r="DK1" s="100"/>
      <c r="DM1" s="99"/>
      <c r="DN1" s="99"/>
      <c r="DO1" s="102"/>
      <c r="DP1" s="102"/>
    </row>
    <row r="2" spans="2:120" s="6" customFormat="1" ht="23.25" customHeight="1" x14ac:dyDescent="0.45">
      <c r="B2" s="36" t="s">
        <v>252</v>
      </c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9"/>
      <c r="S2" s="9"/>
      <c r="T2" s="131" t="s">
        <v>37</v>
      </c>
      <c r="U2" s="132"/>
      <c r="V2" s="125">
        <f>SUM(V7:V48)</f>
        <v>136237.5</v>
      </c>
      <c r="W2" s="127">
        <f>SUM(W7:W48)</f>
        <v>6811.875</v>
      </c>
      <c r="X2" s="129">
        <f>V2-V4-W2</f>
        <v>129425.625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131"/>
      <c r="AN2" s="132"/>
      <c r="AO2" s="9"/>
      <c r="AP2" s="9"/>
      <c r="AQ2" s="125">
        <f>SUM(AQ7:AQ48)</f>
        <v>184181.25</v>
      </c>
      <c r="AR2" s="127">
        <f>SUM(AR7:AR48)</f>
        <v>9209.0625</v>
      </c>
      <c r="AS2" s="129">
        <f>AQ2-AR4-AR2</f>
        <v>174972.1875</v>
      </c>
      <c r="AT2" s="57"/>
      <c r="AU2" s="41"/>
      <c r="AV2" s="41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131" t="s">
        <v>37</v>
      </c>
      <c r="BL2" s="132"/>
      <c r="BM2" s="125">
        <f>SUM(BM7:BM48)</f>
        <v>0</v>
      </c>
      <c r="BN2" s="127">
        <f>SUM(BN7:BN48)</f>
        <v>0</v>
      </c>
      <c r="BO2" s="191">
        <f>BM2-BM4-BN2</f>
        <v>0</v>
      </c>
      <c r="BP2" s="195"/>
      <c r="BQ2" s="185"/>
      <c r="BR2" s="185"/>
      <c r="CE2" s="185"/>
      <c r="CF2" s="185"/>
      <c r="CG2" s="131" t="s">
        <v>37</v>
      </c>
      <c r="CH2" s="132"/>
      <c r="CI2" s="125">
        <f>SUM(CI7:CI48)</f>
        <v>0</v>
      </c>
      <c r="CJ2" s="127">
        <f>SUM(CJ7:CJ48)</f>
        <v>0</v>
      </c>
      <c r="CK2" s="129">
        <f>CI2-CI4-CJ2</f>
        <v>0</v>
      </c>
      <c r="CL2" s="61"/>
      <c r="CS2" s="9"/>
      <c r="CT2" s="9"/>
      <c r="CU2" s="131" t="s">
        <v>37</v>
      </c>
      <c r="CV2" s="132"/>
      <c r="CW2" s="125">
        <f>SUM(CW7:CW48)</f>
        <v>0</v>
      </c>
      <c r="CX2" s="127">
        <f>SUM(CX7:CX48)</f>
        <v>0</v>
      </c>
      <c r="CY2" s="129">
        <f>CW2-CW4-CX2</f>
        <v>0</v>
      </c>
      <c r="DA2" s="131" t="s">
        <v>214</v>
      </c>
      <c r="DB2" s="132"/>
      <c r="DC2" s="125">
        <f>SUM(V2,AQ2,BM2,CI2,CW2)</f>
        <v>320418.75</v>
      </c>
      <c r="DD2" s="127">
        <f>SUM(AR2,BN2,CJ2,CX2)</f>
        <v>9209.0625</v>
      </c>
      <c r="DE2" s="129">
        <f>DC2-DC4-DD2</f>
        <v>255209.6875</v>
      </c>
      <c r="DF2" s="30"/>
      <c r="DG2" s="22"/>
      <c r="DK2" s="100"/>
      <c r="DM2" s="99"/>
      <c r="DN2" s="99"/>
      <c r="DO2" s="102"/>
      <c r="DP2" s="102"/>
    </row>
    <row r="3" spans="2:120" ht="25.5" customHeight="1" x14ac:dyDescent="0.3">
      <c r="B3" s="36" t="s">
        <v>253</v>
      </c>
      <c r="C3" s="40"/>
      <c r="D3" s="40"/>
      <c r="E3" s="37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T3" s="133"/>
      <c r="U3" s="134"/>
      <c r="V3" s="126"/>
      <c r="W3" s="128"/>
      <c r="X3" s="130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133"/>
      <c r="AN3" s="134"/>
      <c r="AQ3" s="126"/>
      <c r="AR3" s="128"/>
      <c r="AS3" s="130"/>
      <c r="AT3" s="57"/>
      <c r="AU3" s="41"/>
      <c r="AV3" s="41"/>
      <c r="BK3" s="133"/>
      <c r="BL3" s="134"/>
      <c r="BM3" s="126"/>
      <c r="BN3" s="128"/>
      <c r="BO3" s="192"/>
      <c r="BP3" s="196"/>
      <c r="CG3" s="133"/>
      <c r="CH3" s="134"/>
      <c r="CI3" s="126"/>
      <c r="CJ3" s="128"/>
      <c r="CK3" s="130"/>
      <c r="CU3" s="133"/>
      <c r="CV3" s="134"/>
      <c r="CW3" s="126"/>
      <c r="CX3" s="128"/>
      <c r="CY3" s="130"/>
      <c r="DA3" s="133"/>
      <c r="DB3" s="134"/>
      <c r="DC3" s="126"/>
      <c r="DD3" s="128"/>
      <c r="DE3" s="130"/>
      <c r="DF3" s="30"/>
      <c r="DG3" s="30"/>
    </row>
    <row r="4" spans="2:120" s="2" customFormat="1" ht="21" customHeight="1" x14ac:dyDescent="0.3">
      <c r="F4" s="136" t="s">
        <v>4</v>
      </c>
      <c r="G4" s="136"/>
      <c r="H4" s="136" t="s">
        <v>22</v>
      </c>
      <c r="I4" s="136"/>
      <c r="J4" s="136" t="s">
        <v>0</v>
      </c>
      <c r="K4" s="136"/>
      <c r="L4" s="136" t="s">
        <v>1</v>
      </c>
      <c r="M4" s="136"/>
      <c r="N4" s="136" t="s">
        <v>97</v>
      </c>
      <c r="O4" s="136"/>
      <c r="P4" s="136" t="s">
        <v>2</v>
      </c>
      <c r="Q4" s="136"/>
      <c r="R4" s="188"/>
      <c r="S4" s="188"/>
      <c r="T4" s="32" t="s">
        <v>23</v>
      </c>
      <c r="U4" s="32"/>
      <c r="V4" s="33">
        <v>0</v>
      </c>
      <c r="W4" s="34"/>
      <c r="X4" s="17"/>
      <c r="Y4" s="136" t="s">
        <v>3</v>
      </c>
      <c r="Z4" s="136"/>
      <c r="AA4" s="136" t="s">
        <v>4</v>
      </c>
      <c r="AB4" s="136"/>
      <c r="AC4" s="136" t="s">
        <v>22</v>
      </c>
      <c r="AD4" s="136"/>
      <c r="AE4" s="136" t="s">
        <v>0</v>
      </c>
      <c r="AF4" s="136"/>
      <c r="AG4" s="136" t="s">
        <v>1</v>
      </c>
      <c r="AH4" s="136"/>
      <c r="AI4" s="136" t="s">
        <v>97</v>
      </c>
      <c r="AJ4" s="136"/>
      <c r="AK4" s="136" t="s">
        <v>2</v>
      </c>
      <c r="AL4" s="136"/>
      <c r="AM4" s="31"/>
      <c r="AN4" s="31"/>
      <c r="AO4" s="10"/>
      <c r="AP4" s="10"/>
      <c r="AQ4" s="31" t="s">
        <v>23</v>
      </c>
      <c r="AR4" s="139">
        <v>0</v>
      </c>
      <c r="AS4" s="140"/>
      <c r="AT4" s="58"/>
      <c r="AU4" s="136" t="s">
        <v>3</v>
      </c>
      <c r="AV4" s="136"/>
      <c r="AW4" s="136" t="s">
        <v>4</v>
      </c>
      <c r="AX4" s="136"/>
      <c r="AY4" s="136" t="s">
        <v>22</v>
      </c>
      <c r="AZ4" s="136"/>
      <c r="BA4" s="136" t="s">
        <v>0</v>
      </c>
      <c r="BB4" s="136"/>
      <c r="BC4" s="136" t="s">
        <v>1</v>
      </c>
      <c r="BD4" s="136"/>
      <c r="BE4" s="136" t="s">
        <v>97</v>
      </c>
      <c r="BF4" s="136"/>
      <c r="BG4" s="136" t="s">
        <v>2</v>
      </c>
      <c r="BH4" s="136"/>
      <c r="BI4" s="188"/>
      <c r="BJ4" s="188"/>
      <c r="BK4" s="141" t="s">
        <v>23</v>
      </c>
      <c r="BL4" s="142"/>
      <c r="BM4" s="139">
        <v>0</v>
      </c>
      <c r="BN4" s="140"/>
      <c r="BO4" s="17"/>
      <c r="BP4" s="193"/>
      <c r="BQ4" s="136" t="s">
        <v>3</v>
      </c>
      <c r="BR4" s="136"/>
      <c r="BS4" s="136" t="s">
        <v>4</v>
      </c>
      <c r="BT4" s="136"/>
      <c r="BU4" s="136" t="s">
        <v>22</v>
      </c>
      <c r="BV4" s="136"/>
      <c r="BW4" s="136" t="s">
        <v>0</v>
      </c>
      <c r="BX4" s="136"/>
      <c r="BY4" s="136" t="s">
        <v>1</v>
      </c>
      <c r="BZ4" s="136"/>
      <c r="CA4" s="136" t="s">
        <v>97</v>
      </c>
      <c r="CB4" s="136"/>
      <c r="CC4" s="136" t="s">
        <v>2</v>
      </c>
      <c r="CD4" s="136"/>
      <c r="CE4" s="189"/>
      <c r="CF4" s="189"/>
      <c r="CG4" s="141" t="s">
        <v>23</v>
      </c>
      <c r="CH4" s="142"/>
      <c r="CI4" s="139">
        <v>0</v>
      </c>
      <c r="CJ4" s="140"/>
      <c r="CK4" s="17"/>
      <c r="CL4" s="62"/>
      <c r="CM4" s="60" t="s">
        <v>3</v>
      </c>
      <c r="CN4" s="60"/>
      <c r="CO4" s="60" t="s">
        <v>4</v>
      </c>
      <c r="CP4" s="60"/>
      <c r="CQ4" s="136" t="s">
        <v>22</v>
      </c>
      <c r="CR4" s="136"/>
      <c r="CS4" s="10"/>
      <c r="CT4" s="10"/>
      <c r="CU4" s="141" t="s">
        <v>23</v>
      </c>
      <c r="CV4" s="142"/>
      <c r="CW4" s="33">
        <v>0</v>
      </c>
      <c r="CX4" s="34"/>
      <c r="CY4" s="17"/>
      <c r="DA4" s="166" t="s">
        <v>23</v>
      </c>
      <c r="DB4" s="166"/>
      <c r="DC4" s="33">
        <v>56000</v>
      </c>
      <c r="DD4" s="34"/>
      <c r="DE4" s="17"/>
      <c r="DK4" s="101"/>
      <c r="DM4" s="10"/>
      <c r="DN4" s="10"/>
      <c r="DO4" s="104"/>
      <c r="DP4" s="104"/>
    </row>
    <row r="5" spans="2:120" s="22" customFormat="1" ht="28.5" customHeight="1" x14ac:dyDescent="0.3">
      <c r="B5" s="18" t="s">
        <v>5</v>
      </c>
      <c r="C5" s="18" t="s">
        <v>6</v>
      </c>
      <c r="D5" s="18" t="s">
        <v>7</v>
      </c>
      <c r="E5" s="18" t="s">
        <v>8</v>
      </c>
      <c r="F5" s="186"/>
      <c r="G5" s="187"/>
      <c r="H5" s="186"/>
      <c r="I5" s="187"/>
      <c r="J5" s="186">
        <v>45992</v>
      </c>
      <c r="K5" s="187"/>
      <c r="L5" s="186">
        <v>45993</v>
      </c>
      <c r="M5" s="187"/>
      <c r="N5" s="186">
        <v>45994</v>
      </c>
      <c r="O5" s="187"/>
      <c r="P5" s="186">
        <v>45995</v>
      </c>
      <c r="Q5" s="187"/>
      <c r="R5" s="97" t="s">
        <v>9</v>
      </c>
      <c r="S5" s="97" t="s">
        <v>10</v>
      </c>
      <c r="T5" s="18" t="s">
        <v>24</v>
      </c>
      <c r="U5" s="18" t="s">
        <v>31</v>
      </c>
      <c r="V5" s="18" t="s">
        <v>11</v>
      </c>
      <c r="W5" s="18" t="s">
        <v>35</v>
      </c>
      <c r="X5" s="18" t="s">
        <v>36</v>
      </c>
      <c r="Y5" s="137">
        <v>45996</v>
      </c>
      <c r="Z5" s="138"/>
      <c r="AA5" s="137">
        <v>45997</v>
      </c>
      <c r="AB5" s="138"/>
      <c r="AC5" s="137">
        <v>45998</v>
      </c>
      <c r="AD5" s="138"/>
      <c r="AE5" s="137">
        <v>45999</v>
      </c>
      <c r="AF5" s="138"/>
      <c r="AG5" s="137">
        <v>46000</v>
      </c>
      <c r="AH5" s="138"/>
      <c r="AI5" s="137">
        <v>46001</v>
      </c>
      <c r="AJ5" s="138"/>
      <c r="AK5" s="137">
        <v>46002</v>
      </c>
      <c r="AL5" s="138"/>
      <c r="AM5" s="18" t="s">
        <v>24</v>
      </c>
      <c r="AN5" s="18" t="s">
        <v>31</v>
      </c>
      <c r="AO5" s="97" t="s">
        <v>9</v>
      </c>
      <c r="AP5" s="97" t="s">
        <v>10</v>
      </c>
      <c r="AQ5" s="18" t="s">
        <v>11</v>
      </c>
      <c r="AR5" s="18" t="s">
        <v>35</v>
      </c>
      <c r="AS5" s="18" t="s">
        <v>36</v>
      </c>
      <c r="AT5" s="52"/>
      <c r="AU5" s="137">
        <v>46003</v>
      </c>
      <c r="AV5" s="138"/>
      <c r="AW5" s="137">
        <v>46004</v>
      </c>
      <c r="AX5" s="138"/>
      <c r="AY5" s="137">
        <v>46005</v>
      </c>
      <c r="AZ5" s="138"/>
      <c r="BA5" s="137">
        <v>46006</v>
      </c>
      <c r="BB5" s="138"/>
      <c r="BC5" s="137">
        <v>46007</v>
      </c>
      <c r="BD5" s="138"/>
      <c r="BE5" s="137">
        <v>46008</v>
      </c>
      <c r="BF5" s="138"/>
      <c r="BG5" s="137">
        <v>46009</v>
      </c>
      <c r="BH5" s="138"/>
      <c r="BI5" s="97" t="s">
        <v>9</v>
      </c>
      <c r="BJ5" s="97" t="s">
        <v>10</v>
      </c>
      <c r="BK5" s="18" t="s">
        <v>24</v>
      </c>
      <c r="BL5" s="18" t="s">
        <v>31</v>
      </c>
      <c r="BM5" s="18" t="s">
        <v>11</v>
      </c>
      <c r="BN5" s="18" t="s">
        <v>35</v>
      </c>
      <c r="BO5" s="18" t="s">
        <v>36</v>
      </c>
      <c r="BP5" s="52"/>
      <c r="BQ5" s="186">
        <v>46010</v>
      </c>
      <c r="BR5" s="187"/>
      <c r="BS5" s="186">
        <v>46011</v>
      </c>
      <c r="BT5" s="187"/>
      <c r="BU5" s="186">
        <v>46012</v>
      </c>
      <c r="BV5" s="187"/>
      <c r="BW5" s="186">
        <v>46013</v>
      </c>
      <c r="BX5" s="187"/>
      <c r="BY5" s="186">
        <v>46014</v>
      </c>
      <c r="BZ5" s="187"/>
      <c r="CA5" s="186">
        <v>46015</v>
      </c>
      <c r="CB5" s="187"/>
      <c r="CC5" s="186">
        <v>46016</v>
      </c>
      <c r="CD5" s="187"/>
      <c r="CE5" s="97" t="s">
        <v>9</v>
      </c>
      <c r="CF5" s="97" t="s">
        <v>10</v>
      </c>
      <c r="CG5" s="18" t="s">
        <v>24</v>
      </c>
      <c r="CH5" s="18" t="s">
        <v>31</v>
      </c>
      <c r="CI5" s="18" t="s">
        <v>11</v>
      </c>
      <c r="CJ5" s="18" t="s">
        <v>35</v>
      </c>
      <c r="CK5" s="18" t="s">
        <v>36</v>
      </c>
      <c r="CL5" s="98"/>
      <c r="CM5" s="137">
        <v>46017</v>
      </c>
      <c r="CN5" s="138"/>
      <c r="CO5" s="137">
        <v>46018</v>
      </c>
      <c r="CP5" s="138"/>
      <c r="CQ5" s="137">
        <v>46019</v>
      </c>
      <c r="CR5" s="138"/>
      <c r="CS5" s="97" t="s">
        <v>9</v>
      </c>
      <c r="CT5" s="97" t="s">
        <v>10</v>
      </c>
      <c r="CU5" s="18" t="s">
        <v>24</v>
      </c>
      <c r="CV5" s="18" t="s">
        <v>31</v>
      </c>
      <c r="CW5" s="18" t="s">
        <v>11</v>
      </c>
      <c r="CX5" s="18" t="s">
        <v>35</v>
      </c>
      <c r="CY5" s="18" t="s">
        <v>36</v>
      </c>
      <c r="DA5" s="164"/>
      <c r="DB5" s="165"/>
      <c r="DC5" s="146"/>
      <c r="DD5" s="146"/>
      <c r="DE5" s="146"/>
      <c r="DK5" s="29"/>
      <c r="DL5" s="29"/>
      <c r="DM5" s="29"/>
      <c r="DN5" s="29"/>
      <c r="DO5" s="105"/>
      <c r="DP5" s="105"/>
    </row>
    <row r="6" spans="2:120" s="2" customFormat="1" x14ac:dyDescent="0.3">
      <c r="B6" s="16"/>
      <c r="C6" s="16"/>
      <c r="D6" s="16"/>
      <c r="E6" s="16"/>
      <c r="F6" s="11" t="s">
        <v>12</v>
      </c>
      <c r="G6" s="11" t="s">
        <v>10</v>
      </c>
      <c r="H6" s="11" t="s">
        <v>12</v>
      </c>
      <c r="I6" s="11" t="s">
        <v>10</v>
      </c>
      <c r="J6" s="11" t="s">
        <v>12</v>
      </c>
      <c r="K6" s="11" t="s">
        <v>10</v>
      </c>
      <c r="L6" s="11" t="s">
        <v>12</v>
      </c>
      <c r="M6" s="11" t="s">
        <v>10</v>
      </c>
      <c r="N6" s="11" t="s">
        <v>12</v>
      </c>
      <c r="O6" s="11" t="s">
        <v>10</v>
      </c>
      <c r="P6" s="11" t="s">
        <v>12</v>
      </c>
      <c r="Q6" s="11" t="s">
        <v>10</v>
      </c>
      <c r="R6" s="13"/>
      <c r="S6" s="13"/>
      <c r="T6" s="14"/>
      <c r="U6" s="14"/>
      <c r="V6" s="15"/>
      <c r="W6" s="15"/>
      <c r="X6" s="15"/>
      <c r="Y6" s="11" t="s">
        <v>12</v>
      </c>
      <c r="Z6" s="11" t="s">
        <v>10</v>
      </c>
      <c r="AA6" s="11" t="s">
        <v>12</v>
      </c>
      <c r="AB6" s="11" t="s">
        <v>10</v>
      </c>
      <c r="AC6" s="11" t="s">
        <v>12</v>
      </c>
      <c r="AD6" s="11" t="s">
        <v>10</v>
      </c>
      <c r="AE6" s="11" t="s">
        <v>12</v>
      </c>
      <c r="AF6" s="11" t="s">
        <v>10</v>
      </c>
      <c r="AG6" s="11" t="s">
        <v>12</v>
      </c>
      <c r="AH6" s="11" t="s">
        <v>10</v>
      </c>
      <c r="AI6" s="11" t="s">
        <v>12</v>
      </c>
      <c r="AJ6" s="11" t="s">
        <v>10</v>
      </c>
      <c r="AK6" s="11" t="s">
        <v>12</v>
      </c>
      <c r="AL6" s="11" t="s">
        <v>10</v>
      </c>
      <c r="AM6" s="13"/>
      <c r="AN6" s="13"/>
      <c r="AO6" s="13"/>
      <c r="AP6" s="13"/>
      <c r="AQ6" s="42"/>
      <c r="AR6" s="42"/>
      <c r="AS6" s="65"/>
      <c r="AT6" s="53"/>
      <c r="AU6" s="11" t="s">
        <v>12</v>
      </c>
      <c r="AV6" s="11" t="s">
        <v>10</v>
      </c>
      <c r="AW6" s="11" t="s">
        <v>12</v>
      </c>
      <c r="AX6" s="11" t="s">
        <v>10</v>
      </c>
      <c r="AY6" s="11" t="s">
        <v>12</v>
      </c>
      <c r="AZ6" s="11" t="s">
        <v>10</v>
      </c>
      <c r="BA6" s="11" t="s">
        <v>12</v>
      </c>
      <c r="BB6" s="11" t="s">
        <v>10</v>
      </c>
      <c r="BC6" s="11" t="s">
        <v>12</v>
      </c>
      <c r="BD6" s="11" t="s">
        <v>10</v>
      </c>
      <c r="BE6" s="11" t="s">
        <v>12</v>
      </c>
      <c r="BF6" s="11" t="s">
        <v>10</v>
      </c>
      <c r="BG6" s="11" t="s">
        <v>12</v>
      </c>
      <c r="BH6" s="12" t="s">
        <v>10</v>
      </c>
      <c r="BI6" s="13"/>
      <c r="BJ6" s="13"/>
      <c r="BK6" s="14"/>
      <c r="BL6" s="14"/>
      <c r="BM6" s="15"/>
      <c r="BN6" s="15"/>
      <c r="BO6" s="15"/>
      <c r="BP6" s="53"/>
      <c r="BQ6" s="12" t="s">
        <v>12</v>
      </c>
      <c r="BR6" s="12" t="s">
        <v>10</v>
      </c>
      <c r="BS6" s="12" t="s">
        <v>12</v>
      </c>
      <c r="BT6" s="12" t="s">
        <v>10</v>
      </c>
      <c r="BU6" s="12" t="s">
        <v>12</v>
      </c>
      <c r="BV6" s="12" t="s">
        <v>10</v>
      </c>
      <c r="BW6" s="12" t="s">
        <v>12</v>
      </c>
      <c r="BX6" s="12" t="s">
        <v>10</v>
      </c>
      <c r="BY6" s="12" t="s">
        <v>12</v>
      </c>
      <c r="BZ6" s="12" t="s">
        <v>10</v>
      </c>
      <c r="CA6" s="12" t="s">
        <v>12</v>
      </c>
      <c r="CB6" s="12" t="s">
        <v>10</v>
      </c>
      <c r="CC6" s="12" t="s">
        <v>12</v>
      </c>
      <c r="CD6" s="12" t="s">
        <v>10</v>
      </c>
      <c r="CE6" s="13"/>
      <c r="CF6" s="13"/>
      <c r="CG6" s="14"/>
      <c r="CH6" s="14"/>
      <c r="CI6" s="15"/>
      <c r="CJ6" s="15"/>
      <c r="CK6" s="15"/>
      <c r="CL6" s="63"/>
      <c r="CM6" s="12" t="s">
        <v>12</v>
      </c>
      <c r="CN6" s="12" t="s">
        <v>10</v>
      </c>
      <c r="CO6" s="12" t="s">
        <v>12</v>
      </c>
      <c r="CP6" s="12" t="s">
        <v>10</v>
      </c>
      <c r="CQ6" s="12" t="s">
        <v>12</v>
      </c>
      <c r="CR6" s="12" t="s">
        <v>10</v>
      </c>
      <c r="CS6" s="13"/>
      <c r="CT6" s="13"/>
      <c r="CU6" s="14"/>
      <c r="CV6" s="14"/>
      <c r="CW6" s="15"/>
      <c r="CX6" s="15"/>
      <c r="CY6" s="15"/>
      <c r="DA6" s="154"/>
      <c r="DB6" s="155"/>
      <c r="DC6" s="155"/>
      <c r="DD6" s="155"/>
      <c r="DE6" s="156"/>
      <c r="DF6" s="156"/>
      <c r="DG6" s="155"/>
      <c r="DH6" s="151" t="s">
        <v>127</v>
      </c>
      <c r="DK6" s="101"/>
      <c r="DM6" s="10"/>
      <c r="DN6" s="10"/>
      <c r="DO6" s="104"/>
      <c r="DP6" s="104"/>
    </row>
    <row r="7" spans="2:120" x14ac:dyDescent="0.3">
      <c r="B7" s="3" t="s">
        <v>65</v>
      </c>
      <c r="C7" s="1" t="s">
        <v>28</v>
      </c>
      <c r="D7" s="1" t="s">
        <v>13</v>
      </c>
      <c r="E7" s="1" t="s">
        <v>65</v>
      </c>
      <c r="F7" s="124"/>
      <c r="G7" s="124"/>
      <c r="H7" s="124"/>
      <c r="I7" s="124"/>
      <c r="J7" s="124"/>
      <c r="K7" s="124"/>
      <c r="L7" s="124">
        <v>8</v>
      </c>
      <c r="M7" s="124">
        <v>4</v>
      </c>
      <c r="N7" s="124">
        <v>8</v>
      </c>
      <c r="O7" s="124">
        <v>4</v>
      </c>
      <c r="P7" s="124">
        <v>8</v>
      </c>
      <c r="Q7" s="124">
        <v>4</v>
      </c>
      <c r="R7" s="8">
        <f>SUM(F7,H7,J7,L7,N7,P7)</f>
        <v>24</v>
      </c>
      <c r="S7" s="8">
        <f>SUM(G7,I7,K7,M7,O7,Q7)</f>
        <v>12</v>
      </c>
      <c r="T7" s="19">
        <f>IFERROR(INDEX(Settings!$F:$F, MATCH('PROJECT NAME DEC'!$B7 &amp; "-" &amp; 'PROJECT NAME DEC'!$C7, Settings!$H:$H,0)), "")</f>
        <v>112.5</v>
      </c>
      <c r="U7" s="19">
        <f>IFERROR(INDEX(Settings!$G:$G, MATCH('PROJECT NAME DEC'!$B7 &amp; "-" &amp; 'PROJECT NAME DEC'!$C7, Settings!$H:$H, 0)), "")</f>
        <v>900</v>
      </c>
      <c r="V7" s="19">
        <f t="shared" ref="V7:V26" si="0">(R7*T7)+(S7*T7)</f>
        <v>4050</v>
      </c>
      <c r="W7" s="19">
        <f>V7*5%</f>
        <v>202.5</v>
      </c>
      <c r="X7" s="19">
        <f>V7-W7</f>
        <v>3847.5</v>
      </c>
      <c r="Y7" s="8">
        <v>8</v>
      </c>
      <c r="Z7" s="8">
        <v>4</v>
      </c>
      <c r="AA7" s="8">
        <v>8</v>
      </c>
      <c r="AB7" s="8">
        <v>7</v>
      </c>
      <c r="AC7" s="8">
        <v>8</v>
      </c>
      <c r="AD7" s="8">
        <v>0</v>
      </c>
      <c r="AE7" s="8">
        <v>8</v>
      </c>
      <c r="AF7" s="8">
        <v>0</v>
      </c>
      <c r="AG7" s="8"/>
      <c r="AH7" s="21"/>
      <c r="AI7" s="21"/>
      <c r="AJ7" s="21"/>
      <c r="AK7" s="21"/>
      <c r="AL7" s="21"/>
      <c r="AM7" s="43">
        <f>IFERROR(INDEX(Settings!$F:$F, MATCH('PROJECT NAME DEC'!$B7 &amp; "-" &amp; 'PROJECT NAME DEC'!$C7, Settings!$H:$H,0)), "")</f>
        <v>112.5</v>
      </c>
      <c r="AN7" s="43">
        <f>IFERROR(INDEX(Settings!$G:$G, MATCH('PROJECT NAME DEC'!$B7 &amp; "-" &amp; 'PROJECT NAME DEC'!$C7, Settings!$H:$H, 0)), "")</f>
        <v>900</v>
      </c>
      <c r="AO7" s="8">
        <f>SUM(Y7,AA7,AC7,AE7,AG7,AI7,AK7)</f>
        <v>32</v>
      </c>
      <c r="AP7" s="8">
        <f>SUM(Z7,AB7,AD7,AF7,AH7,AJ7,AL7)</f>
        <v>11</v>
      </c>
      <c r="AQ7" s="43">
        <f>(AO7*AM7)+(AP7*AM7)</f>
        <v>4837.5</v>
      </c>
      <c r="AR7" s="43">
        <f>AQ7*5%</f>
        <v>241.875</v>
      </c>
      <c r="AS7" s="44">
        <f>AQ7-AR7</f>
        <v>4595.625</v>
      </c>
      <c r="AT7" s="54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28"/>
      <c r="BG7" s="28"/>
      <c r="BH7" s="8"/>
      <c r="BI7" s="8">
        <f>SUM(AU7,AW7,AY7,BA7,BC7,BE7,BG7)</f>
        <v>0</v>
      </c>
      <c r="BJ7" s="8">
        <f>SUM(AV7,AX7,AZ7,BB7,BD7,BF7,BH7)</f>
        <v>0</v>
      </c>
      <c r="BK7" s="19">
        <f>IFERROR(INDEX(Settings!$F:$F, MATCH('PROJECT NAME DEC'!$B7 &amp; "-" &amp; 'PROJECT NAME DEC'!$C7, Settings!$H:$H,0)), "")</f>
        <v>112.5</v>
      </c>
      <c r="BL7" s="19">
        <f>IFERROR(INDEX(Settings!$G:$G, MATCH('PROJECT NAME DEC'!$B7 &amp; "-" &amp; 'PROJECT NAME DEC'!$C7, Settings!$H:$H, 0)), "")</f>
        <v>900</v>
      </c>
      <c r="BM7" s="19">
        <f t="shared" ref="BM7:BM26" si="1">(BI7*BK7)+(BJ7*BK7)</f>
        <v>0</v>
      </c>
      <c r="BN7" s="19">
        <f>BM7*5%</f>
        <v>0</v>
      </c>
      <c r="BO7" s="19">
        <f>BM7-BN7</f>
        <v>0</v>
      </c>
      <c r="BP7" s="54"/>
      <c r="BQ7" s="21"/>
      <c r="BR7" s="21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8">
        <f>SUM(BQ7,BS7,BU7,BW7,BY7,CA7,CC7)</f>
        <v>0</v>
      </c>
      <c r="CF7" s="8">
        <f>SUM(BR7,BT7,BV7,BX7,BZ7,CB7,CD7)</f>
        <v>0</v>
      </c>
      <c r="CG7" s="19">
        <f>IFERROR(INDEX(Settings!$F:$F, MATCH('PROJECT NAME DEC'!$B7 &amp; "-" &amp; 'PROJECT NAME DEC'!$C7, Settings!$H:$H,0)), "")</f>
        <v>112.5</v>
      </c>
      <c r="CH7" s="19">
        <f>IFERROR(INDEX(Settings!$G:$G, MATCH('PROJECT NAME DEC'!$B7 &amp; "-" &amp; 'PROJECT NAME DEC'!$C7, Settings!$H:$H, 0)), "")</f>
        <v>900</v>
      </c>
      <c r="CI7" s="19">
        <f t="shared" ref="CI7:CI26" si="2">(CE7*CG7)+(CF7*CG7)</f>
        <v>0</v>
      </c>
      <c r="CJ7" s="19">
        <f>CI7*5%</f>
        <v>0</v>
      </c>
      <c r="CK7" s="19">
        <f>CI7-CJ7</f>
        <v>0</v>
      </c>
      <c r="CM7" s="3"/>
      <c r="CN7" s="3"/>
      <c r="CO7" s="3"/>
      <c r="CP7" s="3"/>
      <c r="CQ7" s="3"/>
      <c r="CR7" s="3"/>
      <c r="CS7" s="8">
        <f t="shared" ref="CS7:CT33" si="3">SUM(CM7,CO7,CQ7)</f>
        <v>0</v>
      </c>
      <c r="CT7" s="8">
        <f>SUM(CN7,CP7,CR7)</f>
        <v>0</v>
      </c>
      <c r="CU7" s="19">
        <f>IFERROR(INDEX(Settings!$F:$F, MATCH('PROJECT NAME DEC'!$B7 &amp; "-" &amp; 'PROJECT NAME DEC'!$C7, Settings!$H:$H,0)), "")</f>
        <v>112.5</v>
      </c>
      <c r="CV7" s="19">
        <f>IFERROR(INDEX(Settings!$G:$G, MATCH('PROJECT NAME DEC'!$B7 &amp; "-" &amp; 'PROJECT NAME DEC'!$C7, Settings!$H:$H, 0)), "")</f>
        <v>900</v>
      </c>
      <c r="CW7" s="19">
        <v>0</v>
      </c>
      <c r="CX7" s="19">
        <f>CW7*5%</f>
        <v>0</v>
      </c>
      <c r="CY7" s="19">
        <f t="shared" ref="CY7:CY48" si="4">CW7-CX7</f>
        <v>0</v>
      </c>
      <c r="DA7" s="157"/>
      <c r="DB7" s="158"/>
      <c r="DC7" s="158"/>
      <c r="DD7" s="158"/>
      <c r="DE7" s="159"/>
      <c r="DF7" s="159"/>
      <c r="DG7" s="160"/>
      <c r="DH7" s="152" t="str">
        <f>DB7 &amp; "-" &amp; DC7</f>
        <v>-</v>
      </c>
      <c r="DK7" s="101"/>
      <c r="DL7" s="2"/>
      <c r="DM7" s="10"/>
      <c r="DN7" s="10"/>
      <c r="DO7" s="104"/>
      <c r="DP7" s="104"/>
    </row>
    <row r="8" spans="2:120" x14ac:dyDescent="0.3">
      <c r="B8" s="3" t="s">
        <v>65</v>
      </c>
      <c r="C8" s="1" t="s">
        <v>28</v>
      </c>
      <c r="D8" s="1" t="s">
        <v>14</v>
      </c>
      <c r="E8" s="1" t="s">
        <v>66</v>
      </c>
      <c r="F8" s="124"/>
      <c r="G8" s="124"/>
      <c r="H8" s="124"/>
      <c r="I8" s="124"/>
      <c r="J8" s="124"/>
      <c r="K8" s="124"/>
      <c r="L8" s="124">
        <v>8</v>
      </c>
      <c r="M8" s="124">
        <v>4</v>
      </c>
      <c r="N8" s="124">
        <v>8</v>
      </c>
      <c r="O8" s="124">
        <v>4</v>
      </c>
      <c r="P8" s="124">
        <v>8</v>
      </c>
      <c r="Q8" s="124">
        <v>4</v>
      </c>
      <c r="R8" s="8">
        <f t="shared" ref="R8:S48" si="5">SUM(F8,H8,J8,L8,N8,P8)</f>
        <v>24</v>
      </c>
      <c r="S8" s="8">
        <f t="shared" si="5"/>
        <v>12</v>
      </c>
      <c r="T8" s="19">
        <f>IFERROR(INDEX(Settings!$F:$F, MATCH('PROJECT NAME DEC'!$B8 &amp; "-" &amp; 'PROJECT NAME DEC'!$C8, Settings!$H:$H,0)), "")</f>
        <v>112.5</v>
      </c>
      <c r="U8" s="19">
        <f>IFERROR(INDEX(Settings!$G:$G, MATCH('PROJECT NAME DEC'!$B8 &amp; "-" &amp; 'PROJECT NAME DEC'!$C8, Settings!$H:$H, 0)), "")</f>
        <v>900</v>
      </c>
      <c r="V8" s="19">
        <f t="shared" si="0"/>
        <v>4050</v>
      </c>
      <c r="W8" s="19">
        <f>V8*5%</f>
        <v>202.5</v>
      </c>
      <c r="X8" s="19">
        <f t="shared" ref="X8:X48" si="6">V8-W8</f>
        <v>3847.5</v>
      </c>
      <c r="Y8" s="8">
        <v>8</v>
      </c>
      <c r="Z8" s="8">
        <v>4</v>
      </c>
      <c r="AA8" s="8">
        <v>8</v>
      </c>
      <c r="AB8" s="8">
        <v>7</v>
      </c>
      <c r="AC8" s="8">
        <v>8</v>
      </c>
      <c r="AD8" s="8">
        <v>0</v>
      </c>
      <c r="AE8" s="8">
        <v>8</v>
      </c>
      <c r="AF8" s="8">
        <v>0</v>
      </c>
      <c r="AG8" s="8"/>
      <c r="AH8" s="21"/>
      <c r="AI8" s="21"/>
      <c r="AJ8" s="21"/>
      <c r="AK8" s="21"/>
      <c r="AL8" s="21"/>
      <c r="AM8" s="43">
        <f>IFERROR(INDEX(Settings!$F:$F, MATCH('PROJECT NAME DEC'!$B8 &amp; "-" &amp; 'PROJECT NAME DEC'!$C8, Settings!$H:$H,0)), "")</f>
        <v>112.5</v>
      </c>
      <c r="AN8" s="43">
        <f>IFERROR(INDEX(Settings!$G:$G, MATCH('PROJECT NAME DEC'!$B8 &amp; "-" &amp; 'PROJECT NAME DEC'!$C8, Settings!$H:$H, 0)), "")</f>
        <v>900</v>
      </c>
      <c r="AO8" s="8">
        <f t="shared" ref="AO8:AP48" si="7">SUM(Y8,AA8,AC8,AE8,AG8,AI8,AK8)</f>
        <v>32</v>
      </c>
      <c r="AP8" s="8">
        <f t="shared" si="7"/>
        <v>11</v>
      </c>
      <c r="AQ8" s="43">
        <f t="shared" ref="AQ8:AQ48" si="8">(AO8*AM8)+(AP8*AM8)</f>
        <v>4837.5</v>
      </c>
      <c r="AR8" s="43">
        <f t="shared" ref="AR8:AR48" si="9">AQ8*5%</f>
        <v>241.875</v>
      </c>
      <c r="AS8" s="44">
        <f t="shared" ref="AS8:AS48" si="10">AQ8-AR8</f>
        <v>4595.625</v>
      </c>
      <c r="AT8" s="54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28"/>
      <c r="BG8" s="28"/>
      <c r="BH8" s="8"/>
      <c r="BI8" s="8">
        <f t="shared" ref="BI8:BJ48" si="11">SUM(AU8,AW8,AY8,BA8,BC8,BE8,BG8)</f>
        <v>0</v>
      </c>
      <c r="BJ8" s="8">
        <f t="shared" si="11"/>
        <v>0</v>
      </c>
      <c r="BK8" s="19">
        <f>IFERROR(INDEX(Settings!$F:$F, MATCH('PROJECT NAME DEC'!$B8 &amp; "-" &amp; 'PROJECT NAME DEC'!$C8, Settings!$H:$H,0)), "")</f>
        <v>112.5</v>
      </c>
      <c r="BL8" s="19">
        <f>IFERROR(INDEX(Settings!$G:$G, MATCH('PROJECT NAME DEC'!$B8 &amp; "-" &amp; 'PROJECT NAME DEC'!$C8, Settings!$H:$H, 0)), "")</f>
        <v>900</v>
      </c>
      <c r="BM8" s="19">
        <f t="shared" si="1"/>
        <v>0</v>
      </c>
      <c r="BN8" s="19">
        <f>BM8*5%</f>
        <v>0</v>
      </c>
      <c r="BO8" s="19">
        <f t="shared" ref="BO8:BO48" si="12">BM8-BN8</f>
        <v>0</v>
      </c>
      <c r="BP8" s="54"/>
      <c r="BQ8" s="21"/>
      <c r="BR8" s="21"/>
      <c r="BS8" s="21"/>
      <c r="BT8" s="21"/>
      <c r="BU8" s="21"/>
      <c r="BV8" s="27"/>
      <c r="BW8" s="21"/>
      <c r="BX8" s="21"/>
      <c r="BY8" s="21"/>
      <c r="BZ8" s="21"/>
      <c r="CA8" s="21"/>
      <c r="CB8" s="21"/>
      <c r="CC8" s="21"/>
      <c r="CD8" s="21"/>
      <c r="CE8" s="8">
        <f t="shared" ref="CE8:CF48" si="13">SUM(BQ8,BS8,BU8,BW8,BY8,CA8,CC8)</f>
        <v>0</v>
      </c>
      <c r="CF8" s="8">
        <f t="shared" si="13"/>
        <v>0</v>
      </c>
      <c r="CG8" s="19">
        <f>IFERROR(INDEX(Settings!$F:$F, MATCH('PROJECT NAME DEC'!$B8 &amp; "-" &amp; 'PROJECT NAME DEC'!$C8, Settings!$H:$H,0)), "")</f>
        <v>112.5</v>
      </c>
      <c r="CH8" s="19">
        <f>IFERROR(INDEX(Settings!$G:$G, MATCH('PROJECT NAME DEC'!$B8 &amp; "-" &amp; 'PROJECT NAME DEC'!$C8, Settings!$H:$H, 0)), "")</f>
        <v>900</v>
      </c>
      <c r="CI8" s="19">
        <f t="shared" si="2"/>
        <v>0</v>
      </c>
      <c r="CJ8" s="19">
        <f>CI8*5%</f>
        <v>0</v>
      </c>
      <c r="CK8" s="19">
        <f t="shared" ref="CK8:CK48" si="14">CI8-CJ8</f>
        <v>0</v>
      </c>
      <c r="CM8" s="3"/>
      <c r="CN8" s="3"/>
      <c r="CO8" s="3"/>
      <c r="CP8" s="3"/>
      <c r="CQ8" s="3"/>
      <c r="CR8" s="3"/>
      <c r="CS8" s="8">
        <f t="shared" si="3"/>
        <v>0</v>
      </c>
      <c r="CT8" s="8">
        <f t="shared" si="3"/>
        <v>0</v>
      </c>
      <c r="CU8" s="19">
        <f>IFERROR(INDEX(Settings!$F:$F, MATCH('PROJECT NAME DEC'!$B8 &amp; "-" &amp; 'PROJECT NAME DEC'!$C8, Settings!$H:$H,0)), "")</f>
        <v>112.5</v>
      </c>
      <c r="CV8" s="19">
        <f>IFERROR(INDEX(Settings!$G:$G, MATCH('PROJECT NAME DEC'!$B8 &amp; "-" &amp; 'PROJECT NAME DEC'!$C8, Settings!$H:$H, 0)), "")</f>
        <v>900</v>
      </c>
      <c r="CW8" s="19">
        <v>0</v>
      </c>
      <c r="CX8" s="19">
        <f t="shared" ref="CX8:CX48" si="15">CW8*5%</f>
        <v>0</v>
      </c>
      <c r="CY8" s="19">
        <f t="shared" si="4"/>
        <v>0</v>
      </c>
      <c r="DA8" s="161"/>
      <c r="DB8" s="158"/>
      <c r="DC8" s="158"/>
      <c r="DD8" s="158"/>
      <c r="DE8" s="159"/>
      <c r="DF8" s="159"/>
      <c r="DG8" s="158"/>
      <c r="DH8" s="153" t="str">
        <f t="shared" ref="DH8:DH48" si="16">DB8 &amp; "-" &amp; DC8</f>
        <v>-</v>
      </c>
    </row>
    <row r="9" spans="2:120" x14ac:dyDescent="0.3">
      <c r="B9" s="3" t="s">
        <v>65</v>
      </c>
      <c r="C9" s="1" t="s">
        <v>28</v>
      </c>
      <c r="D9" s="1" t="s">
        <v>15</v>
      </c>
      <c r="E9" s="1" t="s">
        <v>199</v>
      </c>
      <c r="F9" s="124"/>
      <c r="G9" s="124"/>
      <c r="H9" s="124"/>
      <c r="I9" s="124"/>
      <c r="J9" s="124"/>
      <c r="K9" s="124"/>
      <c r="L9" s="124">
        <v>8</v>
      </c>
      <c r="M9" s="124">
        <v>4</v>
      </c>
      <c r="N9" s="124">
        <v>8</v>
      </c>
      <c r="O9" s="124">
        <v>4</v>
      </c>
      <c r="P9" s="124">
        <v>8</v>
      </c>
      <c r="Q9" s="124">
        <v>4</v>
      </c>
      <c r="R9" s="8">
        <f t="shared" si="5"/>
        <v>24</v>
      </c>
      <c r="S9" s="8">
        <f t="shared" si="5"/>
        <v>12</v>
      </c>
      <c r="T9" s="19">
        <f>IFERROR(INDEX(Settings!$F:$F, MATCH('PROJECT NAME DEC'!$B9 &amp; "-" &amp; 'PROJECT NAME DEC'!$C9, Settings!$H:$H,0)), "")</f>
        <v>112.5</v>
      </c>
      <c r="U9" s="19">
        <f>IFERROR(INDEX(Settings!$G:$G, MATCH('PROJECT NAME DEC'!$B9 &amp; "-" &amp; 'PROJECT NAME DEC'!$C9, Settings!$H:$H, 0)), "")</f>
        <v>900</v>
      </c>
      <c r="V9" s="19">
        <f t="shared" si="0"/>
        <v>4050</v>
      </c>
      <c r="W9" s="19">
        <f>V9*5%</f>
        <v>202.5</v>
      </c>
      <c r="X9" s="19">
        <f t="shared" si="6"/>
        <v>3847.5</v>
      </c>
      <c r="Y9" s="8">
        <v>8</v>
      </c>
      <c r="Z9" s="8">
        <v>4</v>
      </c>
      <c r="AA9" s="8">
        <v>8</v>
      </c>
      <c r="AB9" s="8">
        <v>7</v>
      </c>
      <c r="AC9" s="8">
        <v>8</v>
      </c>
      <c r="AD9" s="8">
        <v>0</v>
      </c>
      <c r="AE9" s="8">
        <v>8</v>
      </c>
      <c r="AF9" s="8">
        <v>0</v>
      </c>
      <c r="AG9" s="8"/>
      <c r="AH9" s="21"/>
      <c r="AI9" s="21"/>
      <c r="AJ9" s="21"/>
      <c r="AK9" s="21"/>
      <c r="AL9" s="21"/>
      <c r="AM9" s="43">
        <f>IFERROR(INDEX(Settings!$F:$F, MATCH('PROJECT NAME DEC'!$B9 &amp; "-" &amp; 'PROJECT NAME DEC'!$C9, Settings!$H:$H,0)), "")</f>
        <v>112.5</v>
      </c>
      <c r="AN9" s="43">
        <f>IFERROR(INDEX(Settings!$G:$G, MATCH('PROJECT NAME DEC'!$B9 &amp; "-" &amp; 'PROJECT NAME DEC'!$C9, Settings!$H:$H, 0)), "")</f>
        <v>900</v>
      </c>
      <c r="AO9" s="8">
        <f t="shared" si="7"/>
        <v>32</v>
      </c>
      <c r="AP9" s="8">
        <f t="shared" si="7"/>
        <v>11</v>
      </c>
      <c r="AQ9" s="43">
        <f t="shared" si="8"/>
        <v>4837.5</v>
      </c>
      <c r="AR9" s="43">
        <f t="shared" si="9"/>
        <v>241.875</v>
      </c>
      <c r="AS9" s="44">
        <f t="shared" si="10"/>
        <v>4595.625</v>
      </c>
      <c r="AT9" s="54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28"/>
      <c r="BG9" s="28"/>
      <c r="BH9" s="8"/>
      <c r="BI9" s="8">
        <f t="shared" si="11"/>
        <v>0</v>
      </c>
      <c r="BJ9" s="8">
        <f t="shared" si="11"/>
        <v>0</v>
      </c>
      <c r="BK9" s="19">
        <f>IFERROR(INDEX(Settings!$F:$F, MATCH('PROJECT NAME DEC'!$B9 &amp; "-" &amp; 'PROJECT NAME DEC'!$C9, Settings!$H:$H,0)), "")</f>
        <v>112.5</v>
      </c>
      <c r="BL9" s="19">
        <f>IFERROR(INDEX(Settings!$G:$G, MATCH('PROJECT NAME DEC'!$B9 &amp; "-" &amp; 'PROJECT NAME DEC'!$C9, Settings!$H:$H, 0)), "")</f>
        <v>900</v>
      </c>
      <c r="BM9" s="19">
        <f t="shared" si="1"/>
        <v>0</v>
      </c>
      <c r="BN9" s="19">
        <f>BM9*5%</f>
        <v>0</v>
      </c>
      <c r="BO9" s="19">
        <f t="shared" si="12"/>
        <v>0</v>
      </c>
      <c r="BP9" s="54"/>
      <c r="BQ9" s="21"/>
      <c r="BR9" s="21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8">
        <f t="shared" si="13"/>
        <v>0</v>
      </c>
      <c r="CF9" s="8">
        <f t="shared" si="13"/>
        <v>0</v>
      </c>
      <c r="CG9" s="19">
        <f>IFERROR(INDEX(Settings!$F:$F, MATCH('PROJECT NAME DEC'!$B9 &amp; "-" &amp; 'PROJECT NAME DEC'!$C9, Settings!$H:$H,0)), "")</f>
        <v>112.5</v>
      </c>
      <c r="CH9" s="19">
        <f>IFERROR(INDEX(Settings!$G:$G, MATCH('PROJECT NAME DEC'!$B9 &amp; "-" &amp; 'PROJECT NAME DEC'!$C9, Settings!$H:$H, 0)), "")</f>
        <v>900</v>
      </c>
      <c r="CI9" s="19">
        <f t="shared" si="2"/>
        <v>0</v>
      </c>
      <c r="CJ9" s="19">
        <f>CI9*5%</f>
        <v>0</v>
      </c>
      <c r="CK9" s="19">
        <f t="shared" si="14"/>
        <v>0</v>
      </c>
      <c r="CM9" s="3"/>
      <c r="CN9" s="3"/>
      <c r="CO9" s="3"/>
      <c r="CP9" s="3"/>
      <c r="CQ9" s="3"/>
      <c r="CR9" s="3"/>
      <c r="CS9" s="8">
        <f t="shared" si="3"/>
        <v>0</v>
      </c>
      <c r="CT9" s="8">
        <f t="shared" si="3"/>
        <v>0</v>
      </c>
      <c r="CU9" s="19">
        <f>IFERROR(INDEX(Settings!$F:$F, MATCH('PROJECT NAME DEC'!$B9 &amp; "-" &amp; 'PROJECT NAME DEC'!$C9, Settings!$H:$H,0)), "")</f>
        <v>112.5</v>
      </c>
      <c r="CV9" s="19">
        <f>IFERROR(INDEX(Settings!$G:$G, MATCH('PROJECT NAME DEC'!$B9 &amp; "-" &amp; 'PROJECT NAME DEC'!$C9, Settings!$H:$H, 0)), "")</f>
        <v>900</v>
      </c>
      <c r="CW9" s="19">
        <v>0</v>
      </c>
      <c r="CX9" s="19">
        <f>CW9*5%</f>
        <v>0</v>
      </c>
      <c r="CY9" s="19">
        <f t="shared" si="4"/>
        <v>0</v>
      </c>
      <c r="DA9" s="162"/>
      <c r="DB9" s="158"/>
      <c r="DC9" s="158"/>
      <c r="DD9" s="158"/>
      <c r="DE9" s="159"/>
      <c r="DF9" s="159"/>
      <c r="DG9" s="158"/>
      <c r="DH9" s="152" t="str">
        <f t="shared" si="16"/>
        <v>-</v>
      </c>
    </row>
    <row r="10" spans="2:120" x14ac:dyDescent="0.3">
      <c r="B10" s="3" t="s">
        <v>65</v>
      </c>
      <c r="C10" s="1" t="s">
        <v>28</v>
      </c>
      <c r="D10" s="1" t="s">
        <v>17</v>
      </c>
      <c r="E10" s="1" t="s">
        <v>68</v>
      </c>
      <c r="F10" s="124"/>
      <c r="G10" s="124"/>
      <c r="H10" s="124"/>
      <c r="I10" s="124"/>
      <c r="J10" s="124"/>
      <c r="K10" s="124"/>
      <c r="L10" s="124">
        <v>8</v>
      </c>
      <c r="M10" s="124">
        <v>4</v>
      </c>
      <c r="N10" s="124">
        <v>8</v>
      </c>
      <c r="O10" s="124">
        <v>4</v>
      </c>
      <c r="P10" s="124">
        <v>8</v>
      </c>
      <c r="Q10" s="124">
        <v>4</v>
      </c>
      <c r="R10" s="8">
        <f t="shared" si="5"/>
        <v>24</v>
      </c>
      <c r="S10" s="8">
        <f t="shared" si="5"/>
        <v>12</v>
      </c>
      <c r="T10" s="19">
        <f>IFERROR(INDEX(Settings!$F:$F, MATCH('PROJECT NAME DEC'!$B10 &amp; "-" &amp; 'PROJECT NAME DEC'!$C10, Settings!$H:$H,0)), "")</f>
        <v>112.5</v>
      </c>
      <c r="U10" s="19">
        <f>IFERROR(INDEX(Settings!$G:$G, MATCH('PROJECT NAME DEC'!$B10 &amp; "-" &amp; 'PROJECT NAME DEC'!$C10, Settings!$H:$H, 0)), "")</f>
        <v>900</v>
      </c>
      <c r="V10" s="19">
        <f t="shared" si="0"/>
        <v>4050</v>
      </c>
      <c r="W10" s="19">
        <f t="shared" ref="W10:W48" si="17">V10*5%</f>
        <v>202.5</v>
      </c>
      <c r="X10" s="19">
        <f t="shared" si="6"/>
        <v>3847.5</v>
      </c>
      <c r="Y10" s="8">
        <v>8</v>
      </c>
      <c r="Z10" s="8">
        <v>4</v>
      </c>
      <c r="AA10" s="8">
        <v>8</v>
      </c>
      <c r="AB10" s="8">
        <v>7</v>
      </c>
      <c r="AC10" s="8">
        <v>8</v>
      </c>
      <c r="AD10" s="8">
        <v>0</v>
      </c>
      <c r="AE10" s="8">
        <v>8</v>
      </c>
      <c r="AF10" s="8">
        <v>0</v>
      </c>
      <c r="AG10" s="8"/>
      <c r="AH10" s="21"/>
      <c r="AI10" s="21"/>
      <c r="AJ10" s="21"/>
      <c r="AK10" s="21"/>
      <c r="AL10" s="21"/>
      <c r="AM10" s="43">
        <f>IFERROR(INDEX(Settings!$F:$F, MATCH('PROJECT NAME DEC'!$B10 &amp; "-" &amp; 'PROJECT NAME DEC'!$C10, Settings!$H:$H,0)), "")</f>
        <v>112.5</v>
      </c>
      <c r="AN10" s="43">
        <f>IFERROR(INDEX(Settings!$G:$G, MATCH('PROJECT NAME DEC'!$B10 &amp; "-" &amp; 'PROJECT NAME DEC'!$C10, Settings!$H:$H, 0)), "")</f>
        <v>900</v>
      </c>
      <c r="AO10" s="8">
        <f t="shared" si="7"/>
        <v>32</v>
      </c>
      <c r="AP10" s="8">
        <f t="shared" si="7"/>
        <v>11</v>
      </c>
      <c r="AQ10" s="43">
        <f t="shared" si="8"/>
        <v>4837.5</v>
      </c>
      <c r="AR10" s="43">
        <f t="shared" si="9"/>
        <v>241.875</v>
      </c>
      <c r="AS10" s="44">
        <f t="shared" si="10"/>
        <v>4595.625</v>
      </c>
      <c r="AT10" s="54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28"/>
      <c r="BG10" s="28"/>
      <c r="BH10" s="8"/>
      <c r="BI10" s="8">
        <f t="shared" si="11"/>
        <v>0</v>
      </c>
      <c r="BJ10" s="8">
        <f t="shared" si="11"/>
        <v>0</v>
      </c>
      <c r="BK10" s="19">
        <f>IFERROR(INDEX(Settings!$F:$F, MATCH('PROJECT NAME DEC'!$B10 &amp; "-" &amp; 'PROJECT NAME DEC'!$C10, Settings!$H:$H,0)), "")</f>
        <v>112.5</v>
      </c>
      <c r="BL10" s="19">
        <f>IFERROR(INDEX(Settings!$G:$G, MATCH('PROJECT NAME DEC'!$B10 &amp; "-" &amp; 'PROJECT NAME DEC'!$C10, Settings!$H:$H, 0)), "")</f>
        <v>900</v>
      </c>
      <c r="BM10" s="19">
        <f t="shared" si="1"/>
        <v>0</v>
      </c>
      <c r="BN10" s="19">
        <f t="shared" ref="BN10:BN48" si="18">BM10*5%</f>
        <v>0</v>
      </c>
      <c r="BO10" s="19">
        <f t="shared" si="12"/>
        <v>0</v>
      </c>
      <c r="BP10" s="54"/>
      <c r="BQ10" s="21"/>
      <c r="BR10" s="21"/>
      <c r="BS10" s="21"/>
      <c r="BT10" s="21"/>
      <c r="BU10" s="21"/>
      <c r="BV10" s="27"/>
      <c r="BW10" s="21"/>
      <c r="BX10" s="21"/>
      <c r="BY10" s="21"/>
      <c r="BZ10" s="21"/>
      <c r="CA10" s="21"/>
      <c r="CB10" s="21"/>
      <c r="CC10" s="21"/>
      <c r="CD10" s="21"/>
      <c r="CE10" s="8">
        <f t="shared" si="13"/>
        <v>0</v>
      </c>
      <c r="CF10" s="8">
        <f t="shared" si="13"/>
        <v>0</v>
      </c>
      <c r="CG10" s="19">
        <f>IFERROR(INDEX(Settings!$F:$F, MATCH('PROJECT NAME DEC'!$B10 &amp; "-" &amp; 'PROJECT NAME DEC'!$C10, Settings!$H:$H,0)), "")</f>
        <v>112.5</v>
      </c>
      <c r="CH10" s="19">
        <f>IFERROR(INDEX(Settings!$G:$G, MATCH('PROJECT NAME DEC'!$B10 &amp; "-" &amp; 'PROJECT NAME DEC'!$C10, Settings!$H:$H, 0)), "")</f>
        <v>900</v>
      </c>
      <c r="CI10" s="19">
        <f t="shared" si="2"/>
        <v>0</v>
      </c>
      <c r="CJ10" s="19">
        <f t="shared" ref="CJ10:CJ48" si="19">CI10*5%</f>
        <v>0</v>
      </c>
      <c r="CK10" s="19">
        <f t="shared" si="14"/>
        <v>0</v>
      </c>
      <c r="CM10" s="3"/>
      <c r="CN10" s="3"/>
      <c r="CO10" s="3"/>
      <c r="CP10" s="3"/>
      <c r="CQ10" s="3"/>
      <c r="CR10" s="3"/>
      <c r="CS10" s="8">
        <f t="shared" si="3"/>
        <v>0</v>
      </c>
      <c r="CT10" s="8">
        <f t="shared" si="3"/>
        <v>0</v>
      </c>
      <c r="CU10" s="19">
        <f>IFERROR(INDEX(Settings!$F:$F, MATCH('PROJECT NAME DEC'!$B10 &amp; "-" &amp; 'PROJECT NAME DEC'!$C10, Settings!$H:$H,0)), "")</f>
        <v>112.5</v>
      </c>
      <c r="CV10" s="19">
        <f>IFERROR(INDEX(Settings!$G:$G, MATCH('PROJECT NAME DEC'!$B10 &amp; "-" &amp; 'PROJECT NAME DEC'!$C10, Settings!$H:$H, 0)), "")</f>
        <v>900</v>
      </c>
      <c r="CW10" s="19">
        <v>0</v>
      </c>
      <c r="CX10" s="19">
        <f t="shared" si="15"/>
        <v>0</v>
      </c>
      <c r="CY10" s="19">
        <f t="shared" si="4"/>
        <v>0</v>
      </c>
      <c r="DA10" s="162"/>
      <c r="DB10" s="158"/>
      <c r="DC10" s="158"/>
      <c r="DD10" s="158"/>
      <c r="DE10" s="159"/>
      <c r="DF10" s="159"/>
      <c r="DG10" s="158"/>
      <c r="DH10" s="153" t="str">
        <f t="shared" si="16"/>
        <v>-</v>
      </c>
    </row>
    <row r="11" spans="2:120" x14ac:dyDescent="0.3">
      <c r="B11" s="3" t="s">
        <v>65</v>
      </c>
      <c r="C11" s="1" t="s">
        <v>28</v>
      </c>
      <c r="D11" s="1" t="s">
        <v>18</v>
      </c>
      <c r="E11" s="1" t="s">
        <v>69</v>
      </c>
      <c r="F11" s="124"/>
      <c r="G11" s="124"/>
      <c r="H11" s="124"/>
      <c r="I11" s="124"/>
      <c r="J11" s="124"/>
      <c r="K11" s="124"/>
      <c r="L11" s="124">
        <v>8</v>
      </c>
      <c r="M11" s="124">
        <v>4</v>
      </c>
      <c r="N11" s="124">
        <v>8</v>
      </c>
      <c r="O11" s="124">
        <v>4</v>
      </c>
      <c r="P11" s="124">
        <v>8</v>
      </c>
      <c r="Q11" s="124">
        <v>4</v>
      </c>
      <c r="R11" s="8">
        <f t="shared" si="5"/>
        <v>24</v>
      </c>
      <c r="S11" s="8">
        <f t="shared" si="5"/>
        <v>12</v>
      </c>
      <c r="T11" s="19">
        <f>IFERROR(INDEX(Settings!$F:$F, MATCH('PROJECT NAME DEC'!$B11 &amp; "-" &amp; 'PROJECT NAME DEC'!$C11, Settings!$H:$H,0)), "")</f>
        <v>112.5</v>
      </c>
      <c r="U11" s="19">
        <f>IFERROR(INDEX(Settings!$G:$G, MATCH('PROJECT NAME DEC'!$B11 &amp; "-" &amp; 'PROJECT NAME DEC'!$C11, Settings!$H:$H, 0)), "")</f>
        <v>900</v>
      </c>
      <c r="V11" s="19">
        <f t="shared" si="0"/>
        <v>4050</v>
      </c>
      <c r="W11" s="19">
        <f t="shared" si="17"/>
        <v>202.5</v>
      </c>
      <c r="X11" s="19">
        <f t="shared" si="6"/>
        <v>3847.5</v>
      </c>
      <c r="Y11" s="8">
        <v>8</v>
      </c>
      <c r="Z11" s="8">
        <v>4</v>
      </c>
      <c r="AA11" s="8">
        <v>8</v>
      </c>
      <c r="AB11" s="8">
        <v>7</v>
      </c>
      <c r="AC11" s="8">
        <v>8</v>
      </c>
      <c r="AD11" s="8">
        <v>0</v>
      </c>
      <c r="AE11" s="8">
        <v>8</v>
      </c>
      <c r="AF11" s="8">
        <v>0</v>
      </c>
      <c r="AG11" s="8"/>
      <c r="AH11" s="21"/>
      <c r="AI11" s="21"/>
      <c r="AJ11" s="21"/>
      <c r="AK11" s="21"/>
      <c r="AL11" s="21"/>
      <c r="AM11" s="43">
        <f>IFERROR(INDEX(Settings!$F:$F, MATCH('PROJECT NAME DEC'!$B11 &amp; "-" &amp; 'PROJECT NAME DEC'!$C11, Settings!$H:$H,0)), "")</f>
        <v>112.5</v>
      </c>
      <c r="AN11" s="43">
        <f>IFERROR(INDEX(Settings!$G:$G, MATCH('PROJECT NAME DEC'!$B11 &amp; "-" &amp; 'PROJECT NAME DEC'!$C11, Settings!$H:$H, 0)), "")</f>
        <v>900</v>
      </c>
      <c r="AO11" s="8">
        <f t="shared" si="7"/>
        <v>32</v>
      </c>
      <c r="AP11" s="8">
        <f t="shared" si="7"/>
        <v>11</v>
      </c>
      <c r="AQ11" s="43">
        <f t="shared" si="8"/>
        <v>4837.5</v>
      </c>
      <c r="AR11" s="43">
        <f t="shared" si="9"/>
        <v>241.875</v>
      </c>
      <c r="AS11" s="44">
        <f t="shared" si="10"/>
        <v>4595.625</v>
      </c>
      <c r="AT11" s="54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28"/>
      <c r="BG11" s="28"/>
      <c r="BH11" s="8"/>
      <c r="BI11" s="8">
        <f t="shared" si="11"/>
        <v>0</v>
      </c>
      <c r="BJ11" s="8">
        <f t="shared" si="11"/>
        <v>0</v>
      </c>
      <c r="BK11" s="19">
        <f>IFERROR(INDEX(Settings!$F:$F, MATCH('PROJECT NAME DEC'!$B11 &amp; "-" &amp; 'PROJECT NAME DEC'!$C11, Settings!$H:$H,0)), "")</f>
        <v>112.5</v>
      </c>
      <c r="BL11" s="19">
        <f>IFERROR(INDEX(Settings!$G:$G, MATCH('PROJECT NAME DEC'!$B11 &amp; "-" &amp; 'PROJECT NAME DEC'!$C11, Settings!$H:$H, 0)), "")</f>
        <v>900</v>
      </c>
      <c r="BM11" s="19">
        <f t="shared" si="1"/>
        <v>0</v>
      </c>
      <c r="BN11" s="19">
        <f t="shared" si="18"/>
        <v>0</v>
      </c>
      <c r="BO11" s="19">
        <f t="shared" si="12"/>
        <v>0</v>
      </c>
      <c r="BP11" s="54"/>
      <c r="BQ11" s="21"/>
      <c r="BR11" s="21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8">
        <f t="shared" si="13"/>
        <v>0</v>
      </c>
      <c r="CF11" s="8">
        <f t="shared" si="13"/>
        <v>0</v>
      </c>
      <c r="CG11" s="19">
        <f>IFERROR(INDEX(Settings!$F:$F, MATCH('PROJECT NAME DEC'!$B11 &amp; "-" &amp; 'PROJECT NAME DEC'!$C11, Settings!$H:$H,0)), "")</f>
        <v>112.5</v>
      </c>
      <c r="CH11" s="19">
        <f>IFERROR(INDEX(Settings!$G:$G, MATCH('PROJECT NAME DEC'!$B11 &amp; "-" &amp; 'PROJECT NAME DEC'!$C11, Settings!$H:$H, 0)), "")</f>
        <v>900</v>
      </c>
      <c r="CI11" s="19">
        <f t="shared" si="2"/>
        <v>0</v>
      </c>
      <c r="CJ11" s="19">
        <f t="shared" si="19"/>
        <v>0</v>
      </c>
      <c r="CK11" s="19">
        <f t="shared" si="14"/>
        <v>0</v>
      </c>
      <c r="CM11" s="3"/>
      <c r="CN11" s="3"/>
      <c r="CO11" s="3"/>
      <c r="CP11" s="3"/>
      <c r="CQ11" s="3"/>
      <c r="CR11" s="3"/>
      <c r="CS11" s="8">
        <f t="shared" si="3"/>
        <v>0</v>
      </c>
      <c r="CT11" s="8">
        <f t="shared" si="3"/>
        <v>0</v>
      </c>
      <c r="CU11" s="19">
        <f>IFERROR(INDEX(Settings!$F:$F, MATCH('PROJECT NAME DEC'!$B11 &amp; "-" &amp; 'PROJECT NAME DEC'!$C11, Settings!$H:$H,0)), "")</f>
        <v>112.5</v>
      </c>
      <c r="CV11" s="19">
        <f>IFERROR(INDEX(Settings!$G:$G, MATCH('PROJECT NAME DEC'!$B11 &amp; "-" &amp; 'PROJECT NAME DEC'!$C11, Settings!$H:$H, 0)), "")</f>
        <v>900</v>
      </c>
      <c r="CW11" s="19">
        <v>0</v>
      </c>
      <c r="CX11" s="19">
        <f t="shared" si="15"/>
        <v>0</v>
      </c>
      <c r="CY11" s="19">
        <f t="shared" si="4"/>
        <v>0</v>
      </c>
      <c r="DA11" s="162"/>
      <c r="DB11" s="158"/>
      <c r="DC11" s="158"/>
      <c r="DD11" s="158"/>
      <c r="DE11" s="159"/>
      <c r="DF11" s="159"/>
      <c r="DG11" s="158"/>
      <c r="DH11" s="152" t="str">
        <f t="shared" si="16"/>
        <v>-</v>
      </c>
    </row>
    <row r="12" spans="2:120" x14ac:dyDescent="0.3">
      <c r="B12" s="3" t="s">
        <v>65</v>
      </c>
      <c r="C12" s="1" t="s">
        <v>28</v>
      </c>
      <c r="D12" s="1" t="s">
        <v>20</v>
      </c>
      <c r="E12" s="1" t="s">
        <v>70</v>
      </c>
      <c r="F12" s="124"/>
      <c r="G12" s="124"/>
      <c r="H12" s="124"/>
      <c r="I12" s="124"/>
      <c r="J12" s="124"/>
      <c r="K12" s="124"/>
      <c r="L12" s="124">
        <v>8</v>
      </c>
      <c r="M12" s="124">
        <v>4</v>
      </c>
      <c r="N12" s="124">
        <v>8</v>
      </c>
      <c r="O12" s="124">
        <v>4</v>
      </c>
      <c r="P12" s="124">
        <v>8</v>
      </c>
      <c r="Q12" s="124">
        <v>4</v>
      </c>
      <c r="R12" s="8">
        <f t="shared" si="5"/>
        <v>24</v>
      </c>
      <c r="S12" s="8">
        <f t="shared" si="5"/>
        <v>12</v>
      </c>
      <c r="T12" s="19">
        <f>IFERROR(INDEX(Settings!$F:$F, MATCH('PROJECT NAME DEC'!$B12 &amp; "-" &amp; 'PROJECT NAME DEC'!$C12, Settings!$H:$H,0)), "")</f>
        <v>112.5</v>
      </c>
      <c r="U12" s="19">
        <f>IFERROR(INDEX(Settings!$G:$G, MATCH('PROJECT NAME DEC'!$B12 &amp; "-" &amp; 'PROJECT NAME DEC'!$C12, Settings!$H:$H, 0)), "")</f>
        <v>900</v>
      </c>
      <c r="V12" s="19">
        <f t="shared" si="0"/>
        <v>4050</v>
      </c>
      <c r="W12" s="19">
        <f t="shared" si="17"/>
        <v>202.5</v>
      </c>
      <c r="X12" s="19">
        <f t="shared" si="6"/>
        <v>3847.5</v>
      </c>
      <c r="Y12" s="8">
        <v>8</v>
      </c>
      <c r="Z12" s="8">
        <v>4</v>
      </c>
      <c r="AA12" s="8">
        <v>8</v>
      </c>
      <c r="AB12" s="8">
        <v>7</v>
      </c>
      <c r="AC12" s="8">
        <v>8</v>
      </c>
      <c r="AD12" s="8">
        <v>0</v>
      </c>
      <c r="AE12" s="8">
        <v>8</v>
      </c>
      <c r="AF12" s="8">
        <v>0</v>
      </c>
      <c r="AG12" s="8"/>
      <c r="AH12" s="21"/>
      <c r="AI12" s="21"/>
      <c r="AJ12" s="21"/>
      <c r="AK12" s="21"/>
      <c r="AL12" s="21"/>
      <c r="AM12" s="43">
        <f>IFERROR(INDEX(Settings!$F:$F, MATCH('PROJECT NAME DEC'!$B12 &amp; "-" &amp; 'PROJECT NAME DEC'!$C12, Settings!$H:$H,0)), "")</f>
        <v>112.5</v>
      </c>
      <c r="AN12" s="43">
        <f>IFERROR(INDEX(Settings!$G:$G, MATCH('PROJECT NAME DEC'!$B12 &amp; "-" &amp; 'PROJECT NAME DEC'!$C12, Settings!$H:$H, 0)), "")</f>
        <v>900</v>
      </c>
      <c r="AO12" s="8">
        <f t="shared" si="7"/>
        <v>32</v>
      </c>
      <c r="AP12" s="8">
        <f t="shared" si="7"/>
        <v>11</v>
      </c>
      <c r="AQ12" s="43">
        <f t="shared" si="8"/>
        <v>4837.5</v>
      </c>
      <c r="AR12" s="43">
        <f t="shared" si="9"/>
        <v>241.875</v>
      </c>
      <c r="AS12" s="44">
        <f t="shared" si="10"/>
        <v>4595.625</v>
      </c>
      <c r="AT12" s="54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28"/>
      <c r="BG12" s="28"/>
      <c r="BH12" s="8"/>
      <c r="BI12" s="8">
        <f t="shared" si="11"/>
        <v>0</v>
      </c>
      <c r="BJ12" s="8">
        <f t="shared" si="11"/>
        <v>0</v>
      </c>
      <c r="BK12" s="19">
        <f>IFERROR(INDEX(Settings!$F:$F, MATCH('PROJECT NAME DEC'!$B12 &amp; "-" &amp; 'PROJECT NAME DEC'!$C12, Settings!$H:$H,0)), "")</f>
        <v>112.5</v>
      </c>
      <c r="BL12" s="19">
        <f>IFERROR(INDEX(Settings!$G:$G, MATCH('PROJECT NAME DEC'!$B12 &amp; "-" &amp; 'PROJECT NAME DEC'!$C12, Settings!$H:$H, 0)), "")</f>
        <v>900</v>
      </c>
      <c r="BM12" s="19">
        <f t="shared" si="1"/>
        <v>0</v>
      </c>
      <c r="BN12" s="19">
        <f t="shared" si="18"/>
        <v>0</v>
      </c>
      <c r="BO12" s="19">
        <f t="shared" si="12"/>
        <v>0</v>
      </c>
      <c r="BP12" s="54"/>
      <c r="BQ12" s="21"/>
      <c r="BR12" s="21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8">
        <f t="shared" si="13"/>
        <v>0</v>
      </c>
      <c r="CF12" s="8">
        <f t="shared" si="13"/>
        <v>0</v>
      </c>
      <c r="CG12" s="19">
        <f>IFERROR(INDEX(Settings!$F:$F, MATCH('PROJECT NAME DEC'!$B12 &amp; "-" &amp; 'PROJECT NAME DEC'!$C12, Settings!$H:$H,0)), "")</f>
        <v>112.5</v>
      </c>
      <c r="CH12" s="19">
        <f>IFERROR(INDEX(Settings!$G:$G, MATCH('PROJECT NAME DEC'!$B12 &amp; "-" &amp; 'PROJECT NAME DEC'!$C12, Settings!$H:$H, 0)), "")</f>
        <v>900</v>
      </c>
      <c r="CI12" s="19">
        <f t="shared" si="2"/>
        <v>0</v>
      </c>
      <c r="CJ12" s="19">
        <f t="shared" si="19"/>
        <v>0</v>
      </c>
      <c r="CK12" s="19">
        <f t="shared" si="14"/>
        <v>0</v>
      </c>
      <c r="CM12" s="3"/>
      <c r="CN12" s="3"/>
      <c r="CO12" s="3"/>
      <c r="CP12" s="3"/>
      <c r="CQ12" s="3"/>
      <c r="CR12" s="3"/>
      <c r="CS12" s="8">
        <f t="shared" si="3"/>
        <v>0</v>
      </c>
      <c r="CT12" s="8">
        <f t="shared" si="3"/>
        <v>0</v>
      </c>
      <c r="CU12" s="19">
        <f>IFERROR(INDEX(Settings!$F:$F, MATCH('PROJECT NAME DEC'!$B12 &amp; "-" &amp; 'PROJECT NAME DEC'!$C12, Settings!$H:$H,0)), "")</f>
        <v>112.5</v>
      </c>
      <c r="CV12" s="19">
        <f>IFERROR(INDEX(Settings!$G:$G, MATCH('PROJECT NAME DEC'!$B12 &amp; "-" &amp; 'PROJECT NAME DEC'!$C12, Settings!$H:$H, 0)), "")</f>
        <v>900</v>
      </c>
      <c r="CW12" s="19">
        <v>0</v>
      </c>
      <c r="CX12" s="19">
        <f t="shared" si="15"/>
        <v>0</v>
      </c>
      <c r="CY12" s="19">
        <f t="shared" si="4"/>
        <v>0</v>
      </c>
      <c r="DA12" s="162"/>
      <c r="DB12" s="158"/>
      <c r="DC12" s="158"/>
      <c r="DD12" s="158"/>
      <c r="DE12" s="159"/>
      <c r="DF12" s="159"/>
      <c r="DG12" s="158"/>
      <c r="DH12" s="153" t="str">
        <f t="shared" si="16"/>
        <v>-</v>
      </c>
    </row>
    <row r="13" spans="2:120" x14ac:dyDescent="0.3">
      <c r="B13" s="3" t="s">
        <v>65</v>
      </c>
      <c r="C13" s="1" t="s">
        <v>28</v>
      </c>
      <c r="D13" s="1" t="s">
        <v>21</v>
      </c>
      <c r="E13" s="1" t="s">
        <v>200</v>
      </c>
      <c r="F13" s="124"/>
      <c r="G13" s="124"/>
      <c r="H13" s="124"/>
      <c r="I13" s="124"/>
      <c r="J13" s="124"/>
      <c r="K13" s="124"/>
      <c r="L13" s="124">
        <v>8</v>
      </c>
      <c r="M13" s="124">
        <v>4</v>
      </c>
      <c r="N13" s="124">
        <v>8</v>
      </c>
      <c r="O13" s="124">
        <v>4</v>
      </c>
      <c r="P13" s="124">
        <v>8</v>
      </c>
      <c r="Q13" s="124">
        <v>4</v>
      </c>
      <c r="R13" s="8">
        <f t="shared" si="5"/>
        <v>24</v>
      </c>
      <c r="S13" s="8">
        <f t="shared" si="5"/>
        <v>12</v>
      </c>
      <c r="T13" s="19">
        <f>IFERROR(INDEX(Settings!$F:$F, MATCH('PROJECT NAME DEC'!$B13 &amp; "-" &amp; 'PROJECT NAME DEC'!$C13, Settings!$H:$H,0)), "")</f>
        <v>112.5</v>
      </c>
      <c r="U13" s="19">
        <f>IFERROR(INDEX(Settings!$G:$G, MATCH('PROJECT NAME DEC'!$B13 &amp; "-" &amp; 'PROJECT NAME DEC'!$C13, Settings!$H:$H, 0)), "")</f>
        <v>900</v>
      </c>
      <c r="V13" s="19">
        <f t="shared" si="0"/>
        <v>4050</v>
      </c>
      <c r="W13" s="19">
        <f t="shared" si="17"/>
        <v>202.5</v>
      </c>
      <c r="X13" s="19">
        <f t="shared" si="6"/>
        <v>3847.5</v>
      </c>
      <c r="Y13" s="8">
        <v>8</v>
      </c>
      <c r="Z13" s="8">
        <v>4</v>
      </c>
      <c r="AA13" s="8">
        <v>8</v>
      </c>
      <c r="AB13" s="8">
        <v>7</v>
      </c>
      <c r="AC13" s="8">
        <v>8</v>
      </c>
      <c r="AD13" s="8">
        <v>0</v>
      </c>
      <c r="AE13" s="8">
        <v>8</v>
      </c>
      <c r="AF13" s="8">
        <v>0</v>
      </c>
      <c r="AG13" s="8"/>
      <c r="AH13" s="21"/>
      <c r="AI13" s="21"/>
      <c r="AJ13" s="21"/>
      <c r="AK13" s="21"/>
      <c r="AL13" s="21"/>
      <c r="AM13" s="43">
        <f>IFERROR(INDEX(Settings!$F:$F, MATCH('PROJECT NAME DEC'!$B13 &amp; "-" &amp; 'PROJECT NAME DEC'!$C13, Settings!$H:$H,0)), "")</f>
        <v>112.5</v>
      </c>
      <c r="AN13" s="43">
        <f>IFERROR(INDEX(Settings!$G:$G, MATCH('PROJECT NAME DEC'!$B13 &amp; "-" &amp; 'PROJECT NAME DEC'!$C13, Settings!$H:$H, 0)), "")</f>
        <v>900</v>
      </c>
      <c r="AO13" s="8">
        <f t="shared" si="7"/>
        <v>32</v>
      </c>
      <c r="AP13" s="8">
        <f t="shared" si="7"/>
        <v>11</v>
      </c>
      <c r="AQ13" s="43">
        <f t="shared" si="8"/>
        <v>4837.5</v>
      </c>
      <c r="AR13" s="43">
        <f t="shared" si="9"/>
        <v>241.875</v>
      </c>
      <c r="AS13" s="44">
        <f t="shared" si="10"/>
        <v>4595.625</v>
      </c>
      <c r="AT13" s="54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28"/>
      <c r="BG13" s="28"/>
      <c r="BH13" s="8"/>
      <c r="BI13" s="8">
        <f t="shared" si="11"/>
        <v>0</v>
      </c>
      <c r="BJ13" s="8">
        <f t="shared" si="11"/>
        <v>0</v>
      </c>
      <c r="BK13" s="19">
        <f>IFERROR(INDEX(Settings!$F:$F, MATCH('PROJECT NAME DEC'!$B13 &amp; "-" &amp; 'PROJECT NAME DEC'!$C13, Settings!$H:$H,0)), "")</f>
        <v>112.5</v>
      </c>
      <c r="BL13" s="19">
        <f>IFERROR(INDEX(Settings!$G:$G, MATCH('PROJECT NAME DEC'!$B13 &amp; "-" &amp; 'PROJECT NAME DEC'!$C13, Settings!$H:$H, 0)), "")</f>
        <v>900</v>
      </c>
      <c r="BM13" s="19">
        <f t="shared" si="1"/>
        <v>0</v>
      </c>
      <c r="BN13" s="19">
        <f t="shared" si="18"/>
        <v>0</v>
      </c>
      <c r="BO13" s="19">
        <f t="shared" si="12"/>
        <v>0</v>
      </c>
      <c r="BP13" s="54"/>
      <c r="BQ13" s="21"/>
      <c r="BR13" s="21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8">
        <f t="shared" si="13"/>
        <v>0</v>
      </c>
      <c r="CF13" s="8">
        <f t="shared" si="13"/>
        <v>0</v>
      </c>
      <c r="CG13" s="19">
        <f>IFERROR(INDEX(Settings!$F:$F, MATCH('PROJECT NAME DEC'!$B13 &amp; "-" &amp; 'PROJECT NAME DEC'!$C13, Settings!$H:$H,0)), "")</f>
        <v>112.5</v>
      </c>
      <c r="CH13" s="19">
        <f>IFERROR(INDEX(Settings!$G:$G, MATCH('PROJECT NAME DEC'!$B13 &amp; "-" &amp; 'PROJECT NAME DEC'!$C13, Settings!$H:$H, 0)), "")</f>
        <v>900</v>
      </c>
      <c r="CI13" s="19">
        <f t="shared" si="2"/>
        <v>0</v>
      </c>
      <c r="CJ13" s="19">
        <f t="shared" si="19"/>
        <v>0</v>
      </c>
      <c r="CK13" s="19">
        <f t="shared" si="14"/>
        <v>0</v>
      </c>
      <c r="CM13" s="3"/>
      <c r="CN13" s="3"/>
      <c r="CO13" s="3"/>
      <c r="CP13" s="3"/>
      <c r="CQ13" s="3"/>
      <c r="CR13" s="3"/>
      <c r="CS13" s="8">
        <f t="shared" si="3"/>
        <v>0</v>
      </c>
      <c r="CT13" s="8">
        <f t="shared" si="3"/>
        <v>0</v>
      </c>
      <c r="CU13" s="19">
        <f>IFERROR(INDEX(Settings!$F:$F, MATCH('PROJECT NAME DEC'!$B13 &amp; "-" &amp; 'PROJECT NAME DEC'!$C13, Settings!$H:$H,0)), "")</f>
        <v>112.5</v>
      </c>
      <c r="CV13" s="19">
        <f>IFERROR(INDEX(Settings!$G:$G, MATCH('PROJECT NAME DEC'!$B13 &amp; "-" &amp; 'PROJECT NAME DEC'!$C13, Settings!$H:$H, 0)), "")</f>
        <v>900</v>
      </c>
      <c r="CW13" s="19">
        <v>0</v>
      </c>
      <c r="CX13" s="19">
        <f t="shared" si="15"/>
        <v>0</v>
      </c>
      <c r="CY13" s="19">
        <f t="shared" si="4"/>
        <v>0</v>
      </c>
      <c r="DA13" s="162"/>
      <c r="DB13" s="158"/>
      <c r="DC13" s="158"/>
      <c r="DD13" s="158"/>
      <c r="DE13" s="159"/>
      <c r="DF13" s="159"/>
      <c r="DG13" s="158"/>
      <c r="DH13" s="152" t="str">
        <f t="shared" si="16"/>
        <v>-</v>
      </c>
      <c r="DK13" s="101"/>
      <c r="DL13" s="2"/>
      <c r="DM13" s="10"/>
      <c r="DN13" s="10"/>
      <c r="DO13" s="104"/>
      <c r="DP13" s="104"/>
    </row>
    <row r="14" spans="2:120" x14ac:dyDescent="0.3">
      <c r="B14" s="3" t="s">
        <v>65</v>
      </c>
      <c r="C14" s="1" t="s">
        <v>28</v>
      </c>
      <c r="D14" s="1" t="s">
        <v>32</v>
      </c>
      <c r="E14" s="1" t="s">
        <v>72</v>
      </c>
      <c r="F14" s="124"/>
      <c r="G14" s="124"/>
      <c r="H14" s="124"/>
      <c r="I14" s="124"/>
      <c r="J14" s="124"/>
      <c r="K14" s="124"/>
      <c r="L14" s="124">
        <v>8</v>
      </c>
      <c r="M14" s="124">
        <v>4</v>
      </c>
      <c r="N14" s="124">
        <v>8</v>
      </c>
      <c r="O14" s="124">
        <v>4</v>
      </c>
      <c r="P14" s="124">
        <v>8</v>
      </c>
      <c r="Q14" s="124">
        <v>4</v>
      </c>
      <c r="R14" s="8">
        <f t="shared" si="5"/>
        <v>24</v>
      </c>
      <c r="S14" s="8">
        <f t="shared" si="5"/>
        <v>12</v>
      </c>
      <c r="T14" s="19">
        <f>IFERROR(INDEX(Settings!$F:$F, MATCH('PROJECT NAME DEC'!$B14 &amp; "-" &amp; 'PROJECT NAME DEC'!$C14, Settings!$H:$H,0)), "")</f>
        <v>112.5</v>
      </c>
      <c r="U14" s="19">
        <f>IFERROR(INDEX(Settings!$G:$G, MATCH('PROJECT NAME DEC'!$B14 &amp; "-" &amp; 'PROJECT NAME DEC'!$C14, Settings!$H:$H, 0)), "")</f>
        <v>900</v>
      </c>
      <c r="V14" s="19">
        <f t="shared" si="0"/>
        <v>4050</v>
      </c>
      <c r="W14" s="19">
        <f t="shared" si="17"/>
        <v>202.5</v>
      </c>
      <c r="X14" s="19">
        <f t="shared" si="6"/>
        <v>3847.5</v>
      </c>
      <c r="Y14" s="8">
        <v>8</v>
      </c>
      <c r="Z14" s="8">
        <v>4</v>
      </c>
      <c r="AA14" s="8">
        <v>8</v>
      </c>
      <c r="AB14" s="8">
        <v>7</v>
      </c>
      <c r="AC14" s="8">
        <v>8</v>
      </c>
      <c r="AD14" s="8">
        <v>0</v>
      </c>
      <c r="AE14" s="8">
        <v>8</v>
      </c>
      <c r="AF14" s="8">
        <v>0</v>
      </c>
      <c r="AG14" s="8"/>
      <c r="AH14" s="21"/>
      <c r="AI14" s="21"/>
      <c r="AJ14" s="21"/>
      <c r="AK14" s="21"/>
      <c r="AL14" s="21"/>
      <c r="AM14" s="43">
        <f>IFERROR(INDEX(Settings!$F:$F, MATCH('PROJECT NAME DEC'!$B14 &amp; "-" &amp; 'PROJECT NAME DEC'!$C14, Settings!$H:$H,0)), "")</f>
        <v>112.5</v>
      </c>
      <c r="AN14" s="43">
        <f>IFERROR(INDEX(Settings!$G:$G, MATCH('PROJECT NAME DEC'!$B14 &amp; "-" &amp; 'PROJECT NAME DEC'!$C14, Settings!$H:$H, 0)), "")</f>
        <v>900</v>
      </c>
      <c r="AO14" s="8">
        <f t="shared" si="7"/>
        <v>32</v>
      </c>
      <c r="AP14" s="8">
        <f t="shared" si="7"/>
        <v>11</v>
      </c>
      <c r="AQ14" s="43">
        <f t="shared" si="8"/>
        <v>4837.5</v>
      </c>
      <c r="AR14" s="43">
        <f t="shared" si="9"/>
        <v>241.875</v>
      </c>
      <c r="AS14" s="44">
        <f t="shared" si="10"/>
        <v>4595.625</v>
      </c>
      <c r="AT14" s="54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28"/>
      <c r="BG14" s="28"/>
      <c r="BH14" s="8"/>
      <c r="BI14" s="8">
        <f t="shared" si="11"/>
        <v>0</v>
      </c>
      <c r="BJ14" s="8">
        <f t="shared" si="11"/>
        <v>0</v>
      </c>
      <c r="BK14" s="19">
        <f>IFERROR(INDEX(Settings!$F:$F, MATCH('PROJECT NAME DEC'!$B14 &amp; "-" &amp; 'PROJECT NAME DEC'!$C14, Settings!$H:$H,0)), "")</f>
        <v>112.5</v>
      </c>
      <c r="BL14" s="19">
        <f>IFERROR(INDEX(Settings!$G:$G, MATCH('PROJECT NAME DEC'!$B14 &amp; "-" &amp; 'PROJECT NAME DEC'!$C14, Settings!$H:$H, 0)), "")</f>
        <v>900</v>
      </c>
      <c r="BM14" s="19">
        <f t="shared" si="1"/>
        <v>0</v>
      </c>
      <c r="BN14" s="19">
        <f t="shared" si="18"/>
        <v>0</v>
      </c>
      <c r="BO14" s="19">
        <f t="shared" si="12"/>
        <v>0</v>
      </c>
      <c r="BP14" s="54"/>
      <c r="BQ14" s="21"/>
      <c r="BR14" s="21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8">
        <f t="shared" si="13"/>
        <v>0</v>
      </c>
      <c r="CF14" s="8">
        <f t="shared" si="13"/>
        <v>0</v>
      </c>
      <c r="CG14" s="19">
        <f>IFERROR(INDEX(Settings!$F:$F, MATCH('PROJECT NAME DEC'!$B14 &amp; "-" &amp; 'PROJECT NAME DEC'!$C14, Settings!$H:$H,0)), "")</f>
        <v>112.5</v>
      </c>
      <c r="CH14" s="19">
        <f>IFERROR(INDEX(Settings!$G:$G, MATCH('PROJECT NAME DEC'!$B14 &amp; "-" &amp; 'PROJECT NAME DEC'!$C14, Settings!$H:$H, 0)), "")</f>
        <v>900</v>
      </c>
      <c r="CI14" s="19">
        <f t="shared" si="2"/>
        <v>0</v>
      </c>
      <c r="CJ14" s="19">
        <f t="shared" si="19"/>
        <v>0</v>
      </c>
      <c r="CK14" s="19">
        <f t="shared" si="14"/>
        <v>0</v>
      </c>
      <c r="CM14" s="3"/>
      <c r="CN14" s="3"/>
      <c r="CO14" s="3"/>
      <c r="CP14" s="3"/>
      <c r="CQ14" s="3"/>
      <c r="CR14" s="3"/>
      <c r="CS14" s="8">
        <f t="shared" si="3"/>
        <v>0</v>
      </c>
      <c r="CT14" s="8">
        <f t="shared" si="3"/>
        <v>0</v>
      </c>
      <c r="CU14" s="19">
        <f>IFERROR(INDEX(Settings!$F:$F, MATCH('PROJECT NAME DEC'!$B14 &amp; "-" &amp; 'PROJECT NAME DEC'!$C14, Settings!$H:$H,0)), "")</f>
        <v>112.5</v>
      </c>
      <c r="CV14" s="19">
        <f>IFERROR(INDEX(Settings!$G:$G, MATCH('PROJECT NAME DEC'!$B14 &amp; "-" &amp; 'PROJECT NAME DEC'!$C14, Settings!$H:$H, 0)), "")</f>
        <v>900</v>
      </c>
      <c r="CW14" s="19">
        <v>0</v>
      </c>
      <c r="CX14" s="19">
        <f t="shared" si="15"/>
        <v>0</v>
      </c>
      <c r="CY14" s="19">
        <f t="shared" si="4"/>
        <v>0</v>
      </c>
      <c r="DA14" s="162"/>
      <c r="DB14" s="158"/>
      <c r="DC14" s="158"/>
      <c r="DD14" s="158"/>
      <c r="DE14" s="159"/>
      <c r="DF14" s="159"/>
      <c r="DG14" s="158"/>
      <c r="DH14" s="153" t="str">
        <f t="shared" si="16"/>
        <v>-</v>
      </c>
    </row>
    <row r="15" spans="2:120" x14ac:dyDescent="0.3">
      <c r="B15" s="3" t="s">
        <v>65</v>
      </c>
      <c r="C15" s="1" t="s">
        <v>28</v>
      </c>
      <c r="D15" s="1" t="s">
        <v>33</v>
      </c>
      <c r="E15" s="4" t="s">
        <v>201</v>
      </c>
      <c r="F15" s="21"/>
      <c r="G15" s="21"/>
      <c r="H15" s="21"/>
      <c r="I15" s="21"/>
      <c r="J15" s="21"/>
      <c r="K15" s="21"/>
      <c r="L15" s="124">
        <v>8</v>
      </c>
      <c r="M15" s="124">
        <v>4</v>
      </c>
      <c r="N15" s="124">
        <v>8</v>
      </c>
      <c r="O15" s="124">
        <v>4</v>
      </c>
      <c r="P15" s="124">
        <v>8</v>
      </c>
      <c r="Q15" s="124">
        <v>4</v>
      </c>
      <c r="R15" s="8">
        <f t="shared" si="5"/>
        <v>24</v>
      </c>
      <c r="S15" s="8">
        <f t="shared" si="5"/>
        <v>12</v>
      </c>
      <c r="T15" s="19">
        <f>IFERROR(INDEX(Settings!$F:$F, MATCH('PROJECT NAME DEC'!$B15 &amp; "-" &amp; 'PROJECT NAME DEC'!$C15, Settings!$H:$H,0)), "")</f>
        <v>112.5</v>
      </c>
      <c r="U15" s="19">
        <f>IFERROR(INDEX(Settings!$G:$G, MATCH('PROJECT NAME DEC'!$B15 &amp; "-" &amp; 'PROJECT NAME DEC'!$C15, Settings!$H:$H, 0)), "")</f>
        <v>900</v>
      </c>
      <c r="V15" s="19">
        <f t="shared" si="0"/>
        <v>4050</v>
      </c>
      <c r="W15" s="19">
        <f t="shared" si="17"/>
        <v>202.5</v>
      </c>
      <c r="X15" s="19">
        <f t="shared" si="6"/>
        <v>3847.5</v>
      </c>
      <c r="Y15" s="8">
        <v>8</v>
      </c>
      <c r="Z15" s="8">
        <v>4</v>
      </c>
      <c r="AA15" s="8">
        <v>8</v>
      </c>
      <c r="AB15" s="8">
        <v>7</v>
      </c>
      <c r="AC15" s="8">
        <v>8</v>
      </c>
      <c r="AD15" s="8">
        <v>0</v>
      </c>
      <c r="AE15" s="8">
        <v>8</v>
      </c>
      <c r="AF15" s="8">
        <v>0</v>
      </c>
      <c r="AG15" s="8"/>
      <c r="AH15" s="21"/>
      <c r="AI15" s="21"/>
      <c r="AJ15" s="21"/>
      <c r="AK15" s="21"/>
      <c r="AL15" s="21"/>
      <c r="AM15" s="43">
        <f>IFERROR(INDEX(Settings!$F:$F, MATCH('PROJECT NAME DEC'!$B15 &amp; "-" &amp; 'PROJECT NAME DEC'!$C15, Settings!$H:$H,0)), "")</f>
        <v>112.5</v>
      </c>
      <c r="AN15" s="43">
        <f>IFERROR(INDEX(Settings!$G:$G, MATCH('PROJECT NAME DEC'!$B15 &amp; "-" &amp; 'PROJECT NAME DEC'!$C15, Settings!$H:$H, 0)), "")</f>
        <v>900</v>
      </c>
      <c r="AO15" s="8">
        <f t="shared" si="7"/>
        <v>32</v>
      </c>
      <c r="AP15" s="8">
        <f t="shared" si="7"/>
        <v>11</v>
      </c>
      <c r="AQ15" s="43">
        <f t="shared" si="8"/>
        <v>4837.5</v>
      </c>
      <c r="AR15" s="43">
        <f t="shared" si="9"/>
        <v>241.875</v>
      </c>
      <c r="AS15" s="44">
        <f t="shared" si="10"/>
        <v>4595.625</v>
      </c>
      <c r="AT15" s="54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28"/>
      <c r="BG15" s="28"/>
      <c r="BH15" s="8"/>
      <c r="BI15" s="8">
        <f t="shared" si="11"/>
        <v>0</v>
      </c>
      <c r="BJ15" s="8">
        <f t="shared" si="11"/>
        <v>0</v>
      </c>
      <c r="BK15" s="19">
        <f>IFERROR(INDEX(Settings!$F:$F, MATCH('PROJECT NAME DEC'!$B15 &amp; "-" &amp; 'PROJECT NAME DEC'!$C15, Settings!$H:$H,0)), "")</f>
        <v>112.5</v>
      </c>
      <c r="BL15" s="19">
        <f>IFERROR(INDEX(Settings!$G:$G, MATCH('PROJECT NAME DEC'!$B15 &amp; "-" &amp; 'PROJECT NAME DEC'!$C15, Settings!$H:$H, 0)), "")</f>
        <v>900</v>
      </c>
      <c r="BM15" s="19">
        <f t="shared" si="1"/>
        <v>0</v>
      </c>
      <c r="BN15" s="19">
        <f t="shared" si="18"/>
        <v>0</v>
      </c>
      <c r="BO15" s="19">
        <f t="shared" si="12"/>
        <v>0</v>
      </c>
      <c r="BP15" s="54"/>
      <c r="BQ15" s="21"/>
      <c r="BR15" s="21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8">
        <f t="shared" si="13"/>
        <v>0</v>
      </c>
      <c r="CF15" s="8">
        <f t="shared" si="13"/>
        <v>0</v>
      </c>
      <c r="CG15" s="19">
        <f>IFERROR(INDEX(Settings!$F:$F, MATCH('PROJECT NAME DEC'!$B15 &amp; "-" &amp; 'PROJECT NAME DEC'!$C15, Settings!$H:$H,0)), "")</f>
        <v>112.5</v>
      </c>
      <c r="CH15" s="19">
        <f>IFERROR(INDEX(Settings!$G:$G, MATCH('PROJECT NAME DEC'!$B15 &amp; "-" &amp; 'PROJECT NAME DEC'!$C15, Settings!$H:$H, 0)), "")</f>
        <v>900</v>
      </c>
      <c r="CI15" s="19">
        <f t="shared" si="2"/>
        <v>0</v>
      </c>
      <c r="CJ15" s="19">
        <f t="shared" si="19"/>
        <v>0</v>
      </c>
      <c r="CK15" s="19">
        <f t="shared" si="14"/>
        <v>0</v>
      </c>
      <c r="CM15" s="3"/>
      <c r="CN15" s="3"/>
      <c r="CO15" s="3"/>
      <c r="CP15" s="3"/>
      <c r="CQ15" s="3"/>
      <c r="CR15" s="3"/>
      <c r="CS15" s="8">
        <f t="shared" si="3"/>
        <v>0</v>
      </c>
      <c r="CT15" s="8">
        <f t="shared" si="3"/>
        <v>0</v>
      </c>
      <c r="CU15" s="19">
        <f>IFERROR(INDEX(Settings!$F:$F, MATCH('PROJECT NAME DEC'!$B15 &amp; "-" &amp; 'PROJECT NAME DEC'!$C15, Settings!$H:$H,0)), "")</f>
        <v>112.5</v>
      </c>
      <c r="CV15" s="19">
        <f>IFERROR(INDEX(Settings!$G:$G, MATCH('PROJECT NAME DEC'!$B15 &amp; "-" &amp; 'PROJECT NAME DEC'!$C15, Settings!$H:$H, 0)), "")</f>
        <v>900</v>
      </c>
      <c r="CW15" s="19">
        <v>0</v>
      </c>
      <c r="CX15" s="19">
        <f t="shared" si="15"/>
        <v>0</v>
      </c>
      <c r="CY15" s="19">
        <f t="shared" si="4"/>
        <v>0</v>
      </c>
      <c r="DA15" s="162"/>
      <c r="DB15" s="158"/>
      <c r="DC15" s="158"/>
      <c r="DD15" s="158"/>
      <c r="DE15" s="159"/>
      <c r="DF15" s="159"/>
      <c r="DG15" s="158"/>
      <c r="DH15" s="152" t="str">
        <f t="shared" si="16"/>
        <v>-</v>
      </c>
    </row>
    <row r="16" spans="2:120" x14ac:dyDescent="0.3">
      <c r="B16" s="3" t="s">
        <v>65</v>
      </c>
      <c r="C16" s="1" t="s">
        <v>28</v>
      </c>
      <c r="D16" s="1" t="s">
        <v>215</v>
      </c>
      <c r="E16" s="4" t="s">
        <v>74</v>
      </c>
      <c r="F16" s="21"/>
      <c r="G16" s="21"/>
      <c r="H16" s="21"/>
      <c r="I16" s="21"/>
      <c r="J16" s="21"/>
      <c r="K16" s="21"/>
      <c r="L16" s="124">
        <v>8</v>
      </c>
      <c r="M16" s="124">
        <v>4</v>
      </c>
      <c r="N16" s="124">
        <v>8</v>
      </c>
      <c r="O16" s="124">
        <v>4</v>
      </c>
      <c r="P16" s="124">
        <v>8</v>
      </c>
      <c r="Q16" s="124">
        <v>4</v>
      </c>
      <c r="R16" s="8">
        <f t="shared" si="5"/>
        <v>24</v>
      </c>
      <c r="S16" s="8">
        <f t="shared" si="5"/>
        <v>12</v>
      </c>
      <c r="T16" s="19">
        <f>IFERROR(INDEX(Settings!$F:$F, MATCH('PROJECT NAME DEC'!$B16 &amp; "-" &amp; 'PROJECT NAME DEC'!$C16, Settings!$H:$H,0)), "")</f>
        <v>112.5</v>
      </c>
      <c r="U16" s="19">
        <f>IFERROR(INDEX(Settings!$G:$G, MATCH('PROJECT NAME DEC'!$B16 &amp; "-" &amp; 'PROJECT NAME DEC'!$C16, Settings!$H:$H, 0)), "")</f>
        <v>900</v>
      </c>
      <c r="V16" s="19">
        <f t="shared" si="0"/>
        <v>4050</v>
      </c>
      <c r="W16" s="19">
        <f t="shared" si="17"/>
        <v>202.5</v>
      </c>
      <c r="X16" s="19">
        <f t="shared" si="6"/>
        <v>3847.5</v>
      </c>
      <c r="Y16" s="8">
        <v>8</v>
      </c>
      <c r="Z16" s="8">
        <v>4</v>
      </c>
      <c r="AA16" s="8">
        <v>8</v>
      </c>
      <c r="AB16" s="8">
        <v>7</v>
      </c>
      <c r="AC16" s="8">
        <v>8</v>
      </c>
      <c r="AD16" s="8">
        <v>0</v>
      </c>
      <c r="AE16" s="8">
        <v>8</v>
      </c>
      <c r="AF16" s="8">
        <v>0</v>
      </c>
      <c r="AG16" s="8"/>
      <c r="AH16" s="21"/>
      <c r="AI16" s="21"/>
      <c r="AJ16" s="21"/>
      <c r="AK16" s="21"/>
      <c r="AL16" s="21"/>
      <c r="AM16" s="43">
        <f>IFERROR(INDEX(Settings!$F:$F, MATCH('PROJECT NAME DEC'!$B16 &amp; "-" &amp; 'PROJECT NAME DEC'!$C16, Settings!$H:$H,0)), "")</f>
        <v>112.5</v>
      </c>
      <c r="AN16" s="43">
        <f>IFERROR(INDEX(Settings!$G:$G, MATCH('PROJECT NAME DEC'!$B16 &amp; "-" &amp; 'PROJECT NAME DEC'!$C16, Settings!$H:$H, 0)), "")</f>
        <v>900</v>
      </c>
      <c r="AO16" s="8">
        <f t="shared" si="7"/>
        <v>32</v>
      </c>
      <c r="AP16" s="8">
        <f t="shared" si="7"/>
        <v>11</v>
      </c>
      <c r="AQ16" s="43">
        <f t="shared" si="8"/>
        <v>4837.5</v>
      </c>
      <c r="AR16" s="43">
        <f t="shared" si="9"/>
        <v>241.875</v>
      </c>
      <c r="AS16" s="44">
        <f t="shared" si="10"/>
        <v>4595.625</v>
      </c>
      <c r="AT16" s="54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28"/>
      <c r="BG16" s="28"/>
      <c r="BH16" s="8"/>
      <c r="BI16" s="8">
        <f t="shared" si="11"/>
        <v>0</v>
      </c>
      <c r="BJ16" s="8">
        <f t="shared" si="11"/>
        <v>0</v>
      </c>
      <c r="BK16" s="19">
        <f>IFERROR(INDEX(Settings!$F:$F, MATCH('PROJECT NAME DEC'!$B16 &amp; "-" &amp; 'PROJECT NAME DEC'!$C16, Settings!$H:$H,0)), "")</f>
        <v>112.5</v>
      </c>
      <c r="BL16" s="19">
        <f>IFERROR(INDEX(Settings!$G:$G, MATCH('PROJECT NAME DEC'!$B16 &amp; "-" &amp; 'PROJECT NAME DEC'!$C16, Settings!$H:$H, 0)), "")</f>
        <v>900</v>
      </c>
      <c r="BM16" s="19">
        <f t="shared" si="1"/>
        <v>0</v>
      </c>
      <c r="BN16" s="19">
        <f t="shared" si="18"/>
        <v>0</v>
      </c>
      <c r="BO16" s="19">
        <f t="shared" si="12"/>
        <v>0</v>
      </c>
      <c r="BP16" s="54"/>
      <c r="BQ16" s="21"/>
      <c r="BR16" s="21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8">
        <f t="shared" si="13"/>
        <v>0</v>
      </c>
      <c r="CF16" s="8">
        <f t="shared" si="13"/>
        <v>0</v>
      </c>
      <c r="CG16" s="19">
        <f>IFERROR(INDEX(Settings!$F:$F, MATCH('PROJECT NAME DEC'!$B16 &amp; "-" &amp; 'PROJECT NAME DEC'!$C16, Settings!$H:$H,0)), "")</f>
        <v>112.5</v>
      </c>
      <c r="CH16" s="19">
        <f>IFERROR(INDEX(Settings!$G:$G, MATCH('PROJECT NAME DEC'!$B16 &amp; "-" &amp; 'PROJECT NAME DEC'!$C16, Settings!$H:$H, 0)), "")</f>
        <v>900</v>
      </c>
      <c r="CI16" s="19">
        <f t="shared" si="2"/>
        <v>0</v>
      </c>
      <c r="CJ16" s="19">
        <f t="shared" si="19"/>
        <v>0</v>
      </c>
      <c r="CK16" s="19">
        <f t="shared" si="14"/>
        <v>0</v>
      </c>
      <c r="CM16" s="3"/>
      <c r="CN16" s="3"/>
      <c r="CO16" s="3"/>
      <c r="CP16" s="3"/>
      <c r="CQ16" s="3"/>
      <c r="CR16" s="3"/>
      <c r="CS16" s="8">
        <f t="shared" si="3"/>
        <v>0</v>
      </c>
      <c r="CT16" s="8">
        <f t="shared" si="3"/>
        <v>0</v>
      </c>
      <c r="CU16" s="19">
        <f>IFERROR(INDEX(Settings!$F:$F, MATCH('PROJECT NAME DEC'!$B16 &amp; "-" &amp; 'PROJECT NAME DEC'!$C16, Settings!$H:$H,0)), "")</f>
        <v>112.5</v>
      </c>
      <c r="CV16" s="19">
        <f>IFERROR(INDEX(Settings!$G:$G, MATCH('PROJECT NAME DEC'!$B16 &amp; "-" &amp; 'PROJECT NAME DEC'!$C16, Settings!$H:$H, 0)), "")</f>
        <v>900</v>
      </c>
      <c r="CW16" s="19">
        <v>0</v>
      </c>
      <c r="CX16" s="19">
        <f t="shared" si="15"/>
        <v>0</v>
      </c>
      <c r="CY16" s="19">
        <f t="shared" si="4"/>
        <v>0</v>
      </c>
      <c r="DA16" s="162"/>
      <c r="DB16" s="158"/>
      <c r="DC16" s="158"/>
      <c r="DD16" s="158"/>
      <c r="DE16" s="159"/>
      <c r="DF16" s="159"/>
      <c r="DG16" s="158"/>
      <c r="DH16" s="153" t="str">
        <f t="shared" si="16"/>
        <v>-</v>
      </c>
    </row>
    <row r="17" spans="2:120" x14ac:dyDescent="0.3">
      <c r="B17" s="3" t="s">
        <v>65</v>
      </c>
      <c r="C17" s="1" t="s">
        <v>28</v>
      </c>
      <c r="D17" s="1" t="s">
        <v>216</v>
      </c>
      <c r="E17" s="4" t="s">
        <v>182</v>
      </c>
      <c r="F17" s="47"/>
      <c r="G17" s="47"/>
      <c r="H17" s="47"/>
      <c r="I17" s="47"/>
      <c r="J17" s="47"/>
      <c r="K17" s="47"/>
      <c r="L17" s="124">
        <v>8</v>
      </c>
      <c r="M17" s="124">
        <v>4</v>
      </c>
      <c r="N17" s="124">
        <v>8</v>
      </c>
      <c r="O17" s="124">
        <v>4</v>
      </c>
      <c r="P17" s="124">
        <v>8</v>
      </c>
      <c r="Q17" s="124">
        <v>4</v>
      </c>
      <c r="R17" s="8">
        <f t="shared" si="5"/>
        <v>24</v>
      </c>
      <c r="S17" s="8">
        <f t="shared" si="5"/>
        <v>12</v>
      </c>
      <c r="T17" s="19">
        <f>IFERROR(INDEX(Settings!$F:$F, MATCH('PROJECT NAME DEC'!$B17 &amp; "-" &amp; 'PROJECT NAME DEC'!$C17, Settings!$H:$H,0)), "")</f>
        <v>112.5</v>
      </c>
      <c r="U17" s="19">
        <f>IFERROR(INDEX(Settings!$G:$G, MATCH('PROJECT NAME DEC'!$B17 &amp; "-" &amp; 'PROJECT NAME DEC'!$C17, Settings!$H:$H, 0)), "")</f>
        <v>900</v>
      </c>
      <c r="V17" s="19">
        <f t="shared" si="0"/>
        <v>4050</v>
      </c>
      <c r="W17" s="19">
        <f t="shared" si="17"/>
        <v>202.5</v>
      </c>
      <c r="X17" s="19">
        <f t="shared" si="6"/>
        <v>3847.5</v>
      </c>
      <c r="Y17" s="8">
        <v>8</v>
      </c>
      <c r="Z17" s="8">
        <v>4</v>
      </c>
      <c r="AA17" s="8">
        <v>8</v>
      </c>
      <c r="AB17" s="8">
        <v>7</v>
      </c>
      <c r="AC17" s="8">
        <v>8</v>
      </c>
      <c r="AD17" s="8">
        <v>0</v>
      </c>
      <c r="AE17" s="8">
        <v>8</v>
      </c>
      <c r="AF17" s="8">
        <v>0</v>
      </c>
      <c r="AG17" s="46"/>
      <c r="AH17" s="47"/>
      <c r="AI17" s="47"/>
      <c r="AJ17" s="47"/>
      <c r="AK17" s="47"/>
      <c r="AL17" s="47"/>
      <c r="AM17" s="48">
        <f>IFERROR(INDEX(Settings!$F:$F, MATCH('PROJECT NAME DEC'!$B17 &amp; "-" &amp; 'PROJECT NAME DEC'!$C17, Settings!$H:$H,0)), "")</f>
        <v>112.5</v>
      </c>
      <c r="AN17" s="48">
        <f>IFERROR(INDEX(Settings!$G:$G, MATCH('PROJECT NAME DEC'!$B17 &amp; "-" &amp; 'PROJECT NAME DEC'!$C17, Settings!$H:$H, 0)), "")</f>
        <v>900</v>
      </c>
      <c r="AO17" s="46">
        <f t="shared" si="7"/>
        <v>32</v>
      </c>
      <c r="AP17" s="46">
        <f t="shared" si="7"/>
        <v>11</v>
      </c>
      <c r="AQ17" s="48">
        <f t="shared" si="8"/>
        <v>4837.5</v>
      </c>
      <c r="AR17" s="48">
        <f t="shared" si="9"/>
        <v>241.875</v>
      </c>
      <c r="AS17" s="66">
        <f t="shared" si="10"/>
        <v>4595.625</v>
      </c>
      <c r="AT17" s="55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28"/>
      <c r="BG17" s="28"/>
      <c r="BH17" s="8"/>
      <c r="BI17" s="8">
        <f t="shared" si="11"/>
        <v>0</v>
      </c>
      <c r="BJ17" s="8">
        <f t="shared" si="11"/>
        <v>0</v>
      </c>
      <c r="BK17" s="19">
        <f>IFERROR(INDEX(Settings!$F:$F, MATCH('PROJECT NAME DEC'!$B17 &amp; "-" &amp; 'PROJECT NAME DEC'!$C17, Settings!$H:$H,0)), "")</f>
        <v>112.5</v>
      </c>
      <c r="BL17" s="19">
        <f>IFERROR(INDEX(Settings!$G:$G, MATCH('PROJECT NAME DEC'!$B17 &amp; "-" &amp; 'PROJECT NAME DEC'!$C17, Settings!$H:$H, 0)), "")</f>
        <v>900</v>
      </c>
      <c r="BM17" s="19">
        <f t="shared" si="1"/>
        <v>0</v>
      </c>
      <c r="BN17" s="19">
        <f t="shared" si="18"/>
        <v>0</v>
      </c>
      <c r="BO17" s="19">
        <f t="shared" si="12"/>
        <v>0</v>
      </c>
      <c r="BP17" s="55"/>
      <c r="BQ17" s="21"/>
      <c r="BR17" s="21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8">
        <f t="shared" si="13"/>
        <v>0</v>
      </c>
      <c r="CF17" s="8">
        <f t="shared" si="13"/>
        <v>0</v>
      </c>
      <c r="CG17" s="19">
        <f>IFERROR(INDEX(Settings!$F:$F, MATCH('PROJECT NAME DEC'!$B17 &amp; "-" &amp; 'PROJECT NAME DEC'!$C17, Settings!$H:$H,0)), "")</f>
        <v>112.5</v>
      </c>
      <c r="CH17" s="19">
        <f>IFERROR(INDEX(Settings!$G:$G, MATCH('PROJECT NAME DEC'!$B17 &amp; "-" &amp; 'PROJECT NAME DEC'!$C17, Settings!$H:$H, 0)), "")</f>
        <v>900</v>
      </c>
      <c r="CI17" s="19">
        <f t="shared" si="2"/>
        <v>0</v>
      </c>
      <c r="CJ17" s="19">
        <f t="shared" si="19"/>
        <v>0</v>
      </c>
      <c r="CK17" s="19">
        <f t="shared" si="14"/>
        <v>0</v>
      </c>
      <c r="CM17" s="3"/>
      <c r="CN17" s="3"/>
      <c r="CO17" s="3"/>
      <c r="CP17" s="3"/>
      <c r="CQ17" s="3"/>
      <c r="CR17" s="3"/>
      <c r="CS17" s="8">
        <f t="shared" si="3"/>
        <v>0</v>
      </c>
      <c r="CT17" s="8">
        <f t="shared" si="3"/>
        <v>0</v>
      </c>
      <c r="CU17" s="19">
        <f>IFERROR(INDEX(Settings!$F:$F, MATCH('PROJECT NAME DEC'!$B17 &amp; "-" &amp; 'PROJECT NAME DEC'!$C17, Settings!$H:$H,0)), "")</f>
        <v>112.5</v>
      </c>
      <c r="CV17" s="19">
        <f>IFERROR(INDEX(Settings!$G:$G, MATCH('PROJECT NAME DEC'!$B17 &amp; "-" &amp; 'PROJECT NAME DEC'!$C17, Settings!$H:$H, 0)), "")</f>
        <v>900</v>
      </c>
      <c r="CW17" s="19">
        <v>0</v>
      </c>
      <c r="CX17" s="19">
        <f t="shared" si="15"/>
        <v>0</v>
      </c>
      <c r="CY17" s="19">
        <f t="shared" si="4"/>
        <v>0</v>
      </c>
      <c r="DA17" s="162"/>
      <c r="DB17" s="158"/>
      <c r="DC17" s="158"/>
      <c r="DD17" s="158"/>
      <c r="DE17" s="159"/>
      <c r="DF17" s="159"/>
      <c r="DG17" s="158"/>
      <c r="DH17" s="152" t="str">
        <f t="shared" si="16"/>
        <v>-</v>
      </c>
    </row>
    <row r="18" spans="2:120" x14ac:dyDescent="0.3">
      <c r="B18" s="3" t="s">
        <v>65</v>
      </c>
      <c r="C18" s="1" t="s">
        <v>28</v>
      </c>
      <c r="D18" s="1" t="s">
        <v>217</v>
      </c>
      <c r="E18" s="4" t="s">
        <v>202</v>
      </c>
      <c r="F18" s="21"/>
      <c r="G18" s="21"/>
      <c r="H18" s="21"/>
      <c r="I18" s="21"/>
      <c r="J18" s="21"/>
      <c r="K18" s="21"/>
      <c r="L18" s="124"/>
      <c r="M18" s="21"/>
      <c r="N18" s="124">
        <v>8</v>
      </c>
      <c r="O18" s="124">
        <v>4</v>
      </c>
      <c r="P18" s="124">
        <v>8</v>
      </c>
      <c r="Q18" s="124">
        <v>4</v>
      </c>
      <c r="R18" s="8">
        <f t="shared" si="5"/>
        <v>16</v>
      </c>
      <c r="S18" s="8">
        <f t="shared" si="5"/>
        <v>8</v>
      </c>
      <c r="T18" s="19">
        <f>IFERROR(INDEX(Settings!$F:$F, MATCH('PROJECT NAME DEC'!$B18 &amp; "-" &amp; 'PROJECT NAME DEC'!$C18, Settings!$H:$H,0)), "")</f>
        <v>112.5</v>
      </c>
      <c r="U18" s="19">
        <f>IFERROR(INDEX(Settings!$G:$G, MATCH('PROJECT NAME DEC'!$B18 &amp; "-" &amp; 'PROJECT NAME DEC'!$C18, Settings!$H:$H, 0)), "")</f>
        <v>900</v>
      </c>
      <c r="V18" s="19">
        <f t="shared" si="0"/>
        <v>2700</v>
      </c>
      <c r="W18" s="19">
        <f t="shared" si="17"/>
        <v>135</v>
      </c>
      <c r="X18" s="19">
        <f t="shared" si="6"/>
        <v>2565</v>
      </c>
      <c r="Y18" s="8">
        <v>8</v>
      </c>
      <c r="Z18" s="8">
        <v>4</v>
      </c>
      <c r="AA18" s="8">
        <v>8</v>
      </c>
      <c r="AB18" s="8">
        <v>7</v>
      </c>
      <c r="AC18" s="8">
        <v>8</v>
      </c>
      <c r="AD18" s="8">
        <v>0</v>
      </c>
      <c r="AE18" s="8">
        <v>8</v>
      </c>
      <c r="AF18" s="8">
        <v>0</v>
      </c>
      <c r="AG18" s="21"/>
      <c r="AH18" s="21"/>
      <c r="AI18" s="21"/>
      <c r="AJ18" s="21"/>
      <c r="AK18" s="21"/>
      <c r="AL18" s="21"/>
      <c r="AM18" s="44">
        <f>IFERROR(INDEX(Settings!$F:$F, MATCH('PROJECT NAME DEC'!$B18 &amp; "-" &amp; 'PROJECT NAME DEC'!$C18, Settings!$H:$H,0)), "")</f>
        <v>112.5</v>
      </c>
      <c r="AN18" s="44">
        <f>IFERROR(INDEX(Settings!$G:$G, MATCH('PROJECT NAME DEC'!$B18 &amp; "-" &amp; 'PROJECT NAME DEC'!$C18, Settings!$H:$H, 0)), "")</f>
        <v>900</v>
      </c>
      <c r="AO18" s="21">
        <f t="shared" si="7"/>
        <v>32</v>
      </c>
      <c r="AP18" s="21">
        <f t="shared" si="7"/>
        <v>11</v>
      </c>
      <c r="AQ18" s="44">
        <f t="shared" si="8"/>
        <v>4837.5</v>
      </c>
      <c r="AR18" s="44">
        <f t="shared" si="9"/>
        <v>241.875</v>
      </c>
      <c r="AS18" s="44">
        <f t="shared" si="10"/>
        <v>4595.625</v>
      </c>
      <c r="AT18" s="59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8"/>
      <c r="BG18" s="28"/>
      <c r="BH18" s="8"/>
      <c r="BI18" s="8">
        <f t="shared" si="11"/>
        <v>0</v>
      </c>
      <c r="BJ18" s="8">
        <f t="shared" si="11"/>
        <v>0</v>
      </c>
      <c r="BK18" s="19">
        <f>IFERROR(INDEX(Settings!$F:$F, MATCH('PROJECT NAME DEC'!$B18 &amp; "-" &amp; 'PROJECT NAME DEC'!$C18, Settings!$H:$H,0)), "")</f>
        <v>112.5</v>
      </c>
      <c r="BL18" s="19">
        <f>IFERROR(INDEX(Settings!$G:$G, MATCH('PROJECT NAME DEC'!$B18 &amp; "-" &amp; 'PROJECT NAME DEC'!$C18, Settings!$H:$H, 0)), "")</f>
        <v>900</v>
      </c>
      <c r="BM18" s="19">
        <f t="shared" si="1"/>
        <v>0</v>
      </c>
      <c r="BN18" s="19">
        <f t="shared" si="18"/>
        <v>0</v>
      </c>
      <c r="BO18" s="19">
        <f t="shared" si="12"/>
        <v>0</v>
      </c>
      <c r="BP18" s="54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8">
        <f t="shared" si="13"/>
        <v>0</v>
      </c>
      <c r="CF18" s="8">
        <f t="shared" si="13"/>
        <v>0</v>
      </c>
      <c r="CG18" s="19">
        <f>IFERROR(INDEX(Settings!$F:$F, MATCH('PROJECT NAME DEC'!$B18 &amp; "-" &amp; 'PROJECT NAME DEC'!$C18, Settings!$H:$H,0)), "")</f>
        <v>112.5</v>
      </c>
      <c r="CH18" s="19">
        <f>IFERROR(INDEX(Settings!$G:$G, MATCH('PROJECT NAME DEC'!$B18 &amp; "-" &amp; 'PROJECT NAME DEC'!$C18, Settings!$H:$H, 0)), "")</f>
        <v>900</v>
      </c>
      <c r="CI18" s="19">
        <f t="shared" si="2"/>
        <v>0</v>
      </c>
      <c r="CJ18" s="19">
        <f t="shared" si="19"/>
        <v>0</v>
      </c>
      <c r="CK18" s="19">
        <f t="shared" si="14"/>
        <v>0</v>
      </c>
      <c r="CM18" s="3"/>
      <c r="CN18" s="3"/>
      <c r="CO18" s="3"/>
      <c r="CP18" s="3"/>
      <c r="CQ18" s="3"/>
      <c r="CR18" s="3"/>
      <c r="CS18" s="8">
        <f t="shared" si="3"/>
        <v>0</v>
      </c>
      <c r="CT18" s="8">
        <f t="shared" si="3"/>
        <v>0</v>
      </c>
      <c r="CU18" s="19">
        <f>IFERROR(INDEX(Settings!$F:$F, MATCH('PROJECT NAME DEC'!$B18 &amp; "-" &amp; 'PROJECT NAME DEC'!$C18, Settings!$H:$H,0)), "")</f>
        <v>112.5</v>
      </c>
      <c r="CV18" s="19">
        <f>IFERROR(INDEX(Settings!$G:$G, MATCH('PROJECT NAME DEC'!$B18 &amp; "-" &amp; 'PROJECT NAME DEC'!$C18, Settings!$H:$H, 0)), "")</f>
        <v>900</v>
      </c>
      <c r="CW18" s="19">
        <v>0</v>
      </c>
      <c r="CX18" s="19">
        <f t="shared" si="15"/>
        <v>0</v>
      </c>
      <c r="CY18" s="19">
        <f t="shared" si="4"/>
        <v>0</v>
      </c>
      <c r="DA18" s="162"/>
      <c r="DB18" s="158"/>
      <c r="DC18" s="158"/>
      <c r="DD18" s="158"/>
      <c r="DE18" s="159"/>
      <c r="DF18" s="159"/>
      <c r="DG18" s="158"/>
      <c r="DH18" s="153" t="str">
        <f t="shared" si="16"/>
        <v>-</v>
      </c>
      <c r="DK18" s="101"/>
      <c r="DL18" s="2"/>
      <c r="DM18" s="10"/>
      <c r="DN18" s="10"/>
      <c r="DO18" s="104"/>
      <c r="DP18" s="104"/>
    </row>
    <row r="19" spans="2:120" x14ac:dyDescent="0.3">
      <c r="B19" s="3" t="s">
        <v>65</v>
      </c>
      <c r="C19" s="1" t="s">
        <v>28</v>
      </c>
      <c r="D19" s="1" t="s">
        <v>218</v>
      </c>
      <c r="E19" s="4" t="s">
        <v>144</v>
      </c>
      <c r="F19" s="21"/>
      <c r="G19" s="21"/>
      <c r="H19" s="21"/>
      <c r="I19" s="21"/>
      <c r="J19" s="21"/>
      <c r="K19" s="21"/>
      <c r="L19" s="124"/>
      <c r="M19" s="21"/>
      <c r="N19" s="124">
        <v>8</v>
      </c>
      <c r="O19" s="124">
        <v>4</v>
      </c>
      <c r="P19" s="124">
        <v>8</v>
      </c>
      <c r="Q19" s="124">
        <v>4</v>
      </c>
      <c r="R19" s="8">
        <f t="shared" si="5"/>
        <v>16</v>
      </c>
      <c r="S19" s="8">
        <f t="shared" si="5"/>
        <v>8</v>
      </c>
      <c r="T19" s="19">
        <f>IFERROR(INDEX(Settings!$F:$F, MATCH('PROJECT NAME DEC'!$B19 &amp; "-" &amp; 'PROJECT NAME DEC'!$C19, Settings!$H:$H,0)), "")</f>
        <v>112.5</v>
      </c>
      <c r="U19" s="19">
        <f>IFERROR(INDEX(Settings!$G:$G, MATCH('PROJECT NAME DEC'!$B19 &amp; "-" &amp; 'PROJECT NAME DEC'!$C19, Settings!$H:$H, 0)), "")</f>
        <v>900</v>
      </c>
      <c r="V19" s="19">
        <f t="shared" si="0"/>
        <v>2700</v>
      </c>
      <c r="W19" s="19">
        <f t="shared" si="17"/>
        <v>135</v>
      </c>
      <c r="X19" s="19">
        <f t="shared" si="6"/>
        <v>2565</v>
      </c>
      <c r="Y19" s="8">
        <v>8</v>
      </c>
      <c r="Z19" s="8">
        <v>4</v>
      </c>
      <c r="AA19" s="8">
        <v>8</v>
      </c>
      <c r="AB19" s="8">
        <v>7</v>
      </c>
      <c r="AC19" s="8">
        <v>8</v>
      </c>
      <c r="AD19" s="8">
        <v>0</v>
      </c>
      <c r="AE19" s="8">
        <v>8</v>
      </c>
      <c r="AF19" s="8">
        <v>0</v>
      </c>
      <c r="AG19" s="21"/>
      <c r="AH19" s="21"/>
      <c r="AI19" s="21"/>
      <c r="AJ19" s="21"/>
      <c r="AK19" s="21"/>
      <c r="AL19" s="21"/>
      <c r="AM19" s="44">
        <f>IFERROR(INDEX(Settings!$F:$F, MATCH('PROJECT NAME DEC'!$B19 &amp; "-" &amp; 'PROJECT NAME DEC'!$C19, Settings!$H:$H,0)), "")</f>
        <v>112.5</v>
      </c>
      <c r="AN19" s="44">
        <f>IFERROR(INDEX(Settings!$G:$G, MATCH('PROJECT NAME DEC'!$B19 &amp; "-" &amp; 'PROJECT NAME DEC'!$C19, Settings!$H:$H, 0)), "")</f>
        <v>900</v>
      </c>
      <c r="AO19" s="21">
        <f t="shared" si="7"/>
        <v>32</v>
      </c>
      <c r="AP19" s="21">
        <f t="shared" si="7"/>
        <v>11</v>
      </c>
      <c r="AQ19" s="44">
        <f t="shared" si="8"/>
        <v>4837.5</v>
      </c>
      <c r="AR19" s="44">
        <f t="shared" si="9"/>
        <v>241.875</v>
      </c>
      <c r="AS19" s="44">
        <f t="shared" si="10"/>
        <v>4595.625</v>
      </c>
      <c r="AT19" s="59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8"/>
      <c r="BG19" s="28"/>
      <c r="BH19" s="8"/>
      <c r="BI19" s="8">
        <f t="shared" si="11"/>
        <v>0</v>
      </c>
      <c r="BJ19" s="8">
        <f t="shared" si="11"/>
        <v>0</v>
      </c>
      <c r="BK19" s="19">
        <f>IFERROR(INDEX(Settings!$F:$F, MATCH('PROJECT NAME DEC'!$B19 &amp; "-" &amp; 'PROJECT NAME DEC'!$C19, Settings!$H:$H,0)), "")</f>
        <v>112.5</v>
      </c>
      <c r="BL19" s="19">
        <f>IFERROR(INDEX(Settings!$G:$G, MATCH('PROJECT NAME DEC'!$B19 &amp; "-" &amp; 'PROJECT NAME DEC'!$C19, Settings!$H:$H, 0)), "")</f>
        <v>900</v>
      </c>
      <c r="BM19" s="19">
        <f t="shared" si="1"/>
        <v>0</v>
      </c>
      <c r="BN19" s="19">
        <f t="shared" si="18"/>
        <v>0</v>
      </c>
      <c r="BO19" s="19">
        <f t="shared" si="12"/>
        <v>0</v>
      </c>
      <c r="BP19" s="54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8">
        <f t="shared" si="13"/>
        <v>0</v>
      </c>
      <c r="CF19" s="8">
        <f t="shared" si="13"/>
        <v>0</v>
      </c>
      <c r="CG19" s="19">
        <f>IFERROR(INDEX(Settings!$F:$F, MATCH('PROJECT NAME DEC'!$B19 &amp; "-" &amp; 'PROJECT NAME DEC'!$C19, Settings!$H:$H,0)), "")</f>
        <v>112.5</v>
      </c>
      <c r="CH19" s="19">
        <f>IFERROR(INDEX(Settings!$G:$G, MATCH('PROJECT NAME DEC'!$B19 &amp; "-" &amp; 'PROJECT NAME DEC'!$C19, Settings!$H:$H, 0)), "")</f>
        <v>900</v>
      </c>
      <c r="CI19" s="19">
        <f t="shared" si="2"/>
        <v>0</v>
      </c>
      <c r="CJ19" s="19">
        <f t="shared" si="19"/>
        <v>0</v>
      </c>
      <c r="CK19" s="19">
        <f t="shared" si="14"/>
        <v>0</v>
      </c>
      <c r="CM19" s="3"/>
      <c r="CN19" s="3"/>
      <c r="CO19" s="3"/>
      <c r="CP19" s="3"/>
      <c r="CQ19" s="3"/>
      <c r="CR19" s="3"/>
      <c r="CS19" s="8">
        <f t="shared" si="3"/>
        <v>0</v>
      </c>
      <c r="CT19" s="8">
        <f t="shared" si="3"/>
        <v>0</v>
      </c>
      <c r="CU19" s="19">
        <f>IFERROR(INDEX(Settings!$F:$F, MATCH('PROJECT NAME DEC'!$B19 &amp; "-" &amp; 'PROJECT NAME DEC'!$C19, Settings!$H:$H,0)), "")</f>
        <v>112.5</v>
      </c>
      <c r="CV19" s="19">
        <f>IFERROR(INDEX(Settings!$G:$G, MATCH('PROJECT NAME DEC'!$B19 &amp; "-" &amp; 'PROJECT NAME DEC'!$C19, Settings!$H:$H, 0)), "")</f>
        <v>900</v>
      </c>
      <c r="CW19" s="19">
        <v>0</v>
      </c>
      <c r="CX19" s="19">
        <f t="shared" si="15"/>
        <v>0</v>
      </c>
      <c r="CY19" s="19">
        <f t="shared" si="4"/>
        <v>0</v>
      </c>
      <c r="DA19" s="162"/>
      <c r="DB19" s="158"/>
      <c r="DC19" s="158"/>
      <c r="DD19" s="158"/>
      <c r="DE19" s="159"/>
      <c r="DF19" s="159"/>
      <c r="DG19" s="158"/>
      <c r="DH19" s="152" t="str">
        <f t="shared" si="16"/>
        <v>-</v>
      </c>
    </row>
    <row r="20" spans="2:120" x14ac:dyDescent="0.3">
      <c r="B20" s="3" t="s">
        <v>65</v>
      </c>
      <c r="C20" s="1" t="s">
        <v>28</v>
      </c>
      <c r="D20" s="1" t="s">
        <v>219</v>
      </c>
      <c r="E20" s="4" t="s">
        <v>203</v>
      </c>
      <c r="F20" s="21"/>
      <c r="G20" s="21"/>
      <c r="H20" s="21"/>
      <c r="I20" s="21"/>
      <c r="J20" s="21"/>
      <c r="K20" s="21"/>
      <c r="L20" s="124"/>
      <c r="M20" s="21"/>
      <c r="N20" s="124"/>
      <c r="O20" s="21"/>
      <c r="P20" s="124">
        <v>8</v>
      </c>
      <c r="Q20" s="124">
        <v>4</v>
      </c>
      <c r="R20" s="8">
        <f t="shared" si="5"/>
        <v>8</v>
      </c>
      <c r="S20" s="8">
        <f t="shared" si="5"/>
        <v>4</v>
      </c>
      <c r="T20" s="19">
        <f>IFERROR(INDEX(Settings!$F:$F, MATCH('PROJECT NAME DEC'!$B20 &amp; "-" &amp; 'PROJECT NAME DEC'!$C20, Settings!$H:$H,0)), "")</f>
        <v>112.5</v>
      </c>
      <c r="U20" s="19">
        <f>IFERROR(INDEX(Settings!$G:$G, MATCH('PROJECT NAME DEC'!$B20 &amp; "-" &amp; 'PROJECT NAME DEC'!$C20, Settings!$H:$H, 0)), "")</f>
        <v>900</v>
      </c>
      <c r="V20" s="19">
        <f t="shared" si="0"/>
        <v>1350</v>
      </c>
      <c r="W20" s="19">
        <f t="shared" si="17"/>
        <v>67.5</v>
      </c>
      <c r="X20" s="19">
        <f t="shared" si="6"/>
        <v>1282.5</v>
      </c>
      <c r="Y20" s="8">
        <v>8</v>
      </c>
      <c r="Z20" s="8">
        <v>4</v>
      </c>
      <c r="AA20" s="8">
        <v>8</v>
      </c>
      <c r="AB20" s="8">
        <v>7</v>
      </c>
      <c r="AC20" s="8">
        <v>8</v>
      </c>
      <c r="AD20" s="8">
        <v>0</v>
      </c>
      <c r="AE20" s="8">
        <v>8</v>
      </c>
      <c r="AF20" s="8">
        <v>0</v>
      </c>
      <c r="AG20" s="21"/>
      <c r="AH20" s="21"/>
      <c r="AI20" s="21"/>
      <c r="AJ20" s="21"/>
      <c r="AK20" s="21"/>
      <c r="AL20" s="21"/>
      <c r="AM20" s="44">
        <f>IFERROR(INDEX(Settings!$F:$F, MATCH('PROJECT NAME DEC'!$B20 &amp; "-" &amp; 'PROJECT NAME DEC'!$C20, Settings!$H:$H,0)), "")</f>
        <v>112.5</v>
      </c>
      <c r="AN20" s="44">
        <f>IFERROR(INDEX(Settings!$G:$G, MATCH('PROJECT NAME DEC'!$B20 &amp; "-" &amp; 'PROJECT NAME DEC'!$C20, Settings!$H:$H, 0)), "")</f>
        <v>900</v>
      </c>
      <c r="AO20" s="21">
        <f t="shared" si="7"/>
        <v>32</v>
      </c>
      <c r="AP20" s="21">
        <f t="shared" si="7"/>
        <v>11</v>
      </c>
      <c r="AQ20" s="44">
        <f t="shared" si="8"/>
        <v>4837.5</v>
      </c>
      <c r="AR20" s="44">
        <f t="shared" si="9"/>
        <v>241.875</v>
      </c>
      <c r="AS20" s="44">
        <f t="shared" si="10"/>
        <v>4595.625</v>
      </c>
      <c r="AT20" s="59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8"/>
      <c r="BG20" s="28"/>
      <c r="BH20" s="8"/>
      <c r="BI20" s="8">
        <f t="shared" si="11"/>
        <v>0</v>
      </c>
      <c r="BJ20" s="8">
        <f t="shared" si="11"/>
        <v>0</v>
      </c>
      <c r="BK20" s="19">
        <f>IFERROR(INDEX(Settings!$F:$F, MATCH('PROJECT NAME DEC'!$B20 &amp; "-" &amp; 'PROJECT NAME DEC'!$C20, Settings!$H:$H,0)), "")</f>
        <v>112.5</v>
      </c>
      <c r="BL20" s="19">
        <f>IFERROR(INDEX(Settings!$G:$G, MATCH('PROJECT NAME DEC'!$B20 &amp; "-" &amp; 'PROJECT NAME DEC'!$C20, Settings!$H:$H, 0)), "")</f>
        <v>900</v>
      </c>
      <c r="BM20" s="19">
        <f t="shared" si="1"/>
        <v>0</v>
      </c>
      <c r="BN20" s="19">
        <f t="shared" si="18"/>
        <v>0</v>
      </c>
      <c r="BO20" s="19">
        <f t="shared" si="12"/>
        <v>0</v>
      </c>
      <c r="BP20" s="54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7"/>
      <c r="CC20" s="27"/>
      <c r="CD20" s="27"/>
      <c r="CE20" s="8">
        <f t="shared" si="13"/>
        <v>0</v>
      </c>
      <c r="CF20" s="8">
        <f t="shared" si="13"/>
        <v>0</v>
      </c>
      <c r="CG20" s="19">
        <f>IFERROR(INDEX(Settings!$F:$F, MATCH('PROJECT NAME DEC'!$B20 &amp; "-" &amp; 'PROJECT NAME DEC'!$C20, Settings!$H:$H,0)), "")</f>
        <v>112.5</v>
      </c>
      <c r="CH20" s="19">
        <f>IFERROR(INDEX(Settings!$G:$G, MATCH('PROJECT NAME DEC'!$B20 &amp; "-" &amp; 'PROJECT NAME DEC'!$C20, Settings!$H:$H, 0)), "")</f>
        <v>900</v>
      </c>
      <c r="CI20" s="19">
        <f t="shared" si="2"/>
        <v>0</v>
      </c>
      <c r="CJ20" s="19">
        <f t="shared" si="19"/>
        <v>0</v>
      </c>
      <c r="CK20" s="19">
        <f t="shared" si="14"/>
        <v>0</v>
      </c>
      <c r="CM20" s="3"/>
      <c r="CN20" s="3"/>
      <c r="CO20" s="3"/>
      <c r="CP20" s="3"/>
      <c r="CQ20" s="3"/>
      <c r="CR20" s="3"/>
      <c r="CS20" s="8">
        <f t="shared" si="3"/>
        <v>0</v>
      </c>
      <c r="CT20" s="8">
        <f t="shared" si="3"/>
        <v>0</v>
      </c>
      <c r="CU20" s="19">
        <f>IFERROR(INDEX(Settings!$F:$F, MATCH('PROJECT NAME DEC'!$B20 &amp; "-" &amp; 'PROJECT NAME DEC'!$C20, Settings!$H:$H,0)), "")</f>
        <v>112.5</v>
      </c>
      <c r="CV20" s="19">
        <f>IFERROR(INDEX(Settings!$G:$G, MATCH('PROJECT NAME DEC'!$B20 &amp; "-" &amp; 'PROJECT NAME DEC'!$C20, Settings!$H:$H, 0)), "")</f>
        <v>900</v>
      </c>
      <c r="CW20" s="19">
        <v>0</v>
      </c>
      <c r="CX20" s="19">
        <f t="shared" si="15"/>
        <v>0</v>
      </c>
      <c r="CY20" s="19">
        <f t="shared" si="4"/>
        <v>0</v>
      </c>
      <c r="DA20" s="162"/>
      <c r="DB20" s="158"/>
      <c r="DC20" s="158"/>
      <c r="DD20" s="158"/>
      <c r="DE20" s="159"/>
      <c r="DF20" s="159"/>
      <c r="DG20" s="158"/>
      <c r="DH20" s="153" t="str">
        <f t="shared" si="16"/>
        <v>-</v>
      </c>
    </row>
    <row r="21" spans="2:120" x14ac:dyDescent="0.3">
      <c r="B21" s="3" t="s">
        <v>65</v>
      </c>
      <c r="C21" s="1" t="s">
        <v>28</v>
      </c>
      <c r="D21" s="1" t="s">
        <v>220</v>
      </c>
      <c r="E21" s="4" t="s">
        <v>204</v>
      </c>
      <c r="F21" s="21"/>
      <c r="G21" s="21"/>
      <c r="H21" s="21"/>
      <c r="I21" s="21"/>
      <c r="J21" s="21"/>
      <c r="K21" s="21"/>
      <c r="L21" s="124"/>
      <c r="M21" s="21"/>
      <c r="N21" s="21"/>
      <c r="O21" s="21"/>
      <c r="P21" s="124">
        <v>8</v>
      </c>
      <c r="Q21" s="124">
        <v>4</v>
      </c>
      <c r="R21" s="8">
        <f t="shared" si="5"/>
        <v>8</v>
      </c>
      <c r="S21" s="8">
        <f t="shared" si="5"/>
        <v>4</v>
      </c>
      <c r="T21" s="19">
        <f>IFERROR(INDEX(Settings!$F:$F, MATCH('PROJECT NAME DEC'!$B21 &amp; "-" &amp; 'PROJECT NAME DEC'!$C21, Settings!$H:$H,0)), "")</f>
        <v>112.5</v>
      </c>
      <c r="U21" s="19">
        <f>IFERROR(INDEX(Settings!$G:$G, MATCH('PROJECT NAME DEC'!$B21 &amp; "-" &amp; 'PROJECT NAME DEC'!$C21, Settings!$H:$H, 0)), "")</f>
        <v>900</v>
      </c>
      <c r="V21" s="19">
        <f t="shared" si="0"/>
        <v>1350</v>
      </c>
      <c r="W21" s="19">
        <f t="shared" si="17"/>
        <v>67.5</v>
      </c>
      <c r="X21" s="19">
        <f t="shared" si="6"/>
        <v>1282.5</v>
      </c>
      <c r="Y21" s="8">
        <v>8</v>
      </c>
      <c r="Z21" s="8">
        <v>4</v>
      </c>
      <c r="AA21" s="8">
        <v>8</v>
      </c>
      <c r="AB21" s="8">
        <v>7</v>
      </c>
      <c r="AC21" s="8">
        <v>8</v>
      </c>
      <c r="AD21" s="8">
        <v>0</v>
      </c>
      <c r="AE21" s="8">
        <v>8</v>
      </c>
      <c r="AF21" s="8">
        <v>0</v>
      </c>
      <c r="AG21" s="21"/>
      <c r="AH21" s="21"/>
      <c r="AI21" s="21"/>
      <c r="AJ21" s="21"/>
      <c r="AK21" s="21"/>
      <c r="AL21" s="21"/>
      <c r="AM21" s="44">
        <f>IFERROR(INDEX(Settings!$F:$F, MATCH('PROJECT NAME DEC'!$B21 &amp; "-" &amp; 'PROJECT NAME DEC'!$C21, Settings!$H:$H,0)), "")</f>
        <v>112.5</v>
      </c>
      <c r="AN21" s="44">
        <f>IFERROR(INDEX(Settings!$G:$G, MATCH('PROJECT NAME DEC'!$B21 &amp; "-" &amp; 'PROJECT NAME DEC'!$C21, Settings!$H:$H, 0)), "")</f>
        <v>900</v>
      </c>
      <c r="AO21" s="21">
        <f t="shared" si="7"/>
        <v>32</v>
      </c>
      <c r="AP21" s="21">
        <f t="shared" si="7"/>
        <v>11</v>
      </c>
      <c r="AQ21" s="44">
        <f t="shared" si="8"/>
        <v>4837.5</v>
      </c>
      <c r="AR21" s="44">
        <f t="shared" si="9"/>
        <v>241.875</v>
      </c>
      <c r="AS21" s="44">
        <f t="shared" si="10"/>
        <v>4595.625</v>
      </c>
      <c r="AT21" s="59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8"/>
      <c r="BG21" s="28"/>
      <c r="BH21" s="8"/>
      <c r="BI21" s="8">
        <f t="shared" si="11"/>
        <v>0</v>
      </c>
      <c r="BJ21" s="8">
        <f t="shared" si="11"/>
        <v>0</v>
      </c>
      <c r="BK21" s="19">
        <f>IFERROR(INDEX(Settings!$F:$F, MATCH('PROJECT NAME DEC'!$B21 &amp; "-" &amp; 'PROJECT NAME DEC'!$C21, Settings!$H:$H,0)), "")</f>
        <v>112.5</v>
      </c>
      <c r="BL21" s="19">
        <f>IFERROR(INDEX(Settings!$G:$G, MATCH('PROJECT NAME DEC'!$B21 &amp; "-" &amp; 'PROJECT NAME DEC'!$C21, Settings!$H:$H, 0)), "")</f>
        <v>900</v>
      </c>
      <c r="BM21" s="19">
        <f t="shared" si="1"/>
        <v>0</v>
      </c>
      <c r="BN21" s="19">
        <f t="shared" si="18"/>
        <v>0</v>
      </c>
      <c r="BO21" s="19">
        <f t="shared" si="12"/>
        <v>0</v>
      </c>
      <c r="BP21" s="54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7"/>
      <c r="CC21" s="27"/>
      <c r="CD21" s="27"/>
      <c r="CE21" s="8">
        <f t="shared" si="13"/>
        <v>0</v>
      </c>
      <c r="CF21" s="8">
        <f t="shared" si="13"/>
        <v>0</v>
      </c>
      <c r="CG21" s="19">
        <f>IFERROR(INDEX(Settings!$F:$F, MATCH('PROJECT NAME DEC'!$B21 &amp; "-" &amp; 'PROJECT NAME DEC'!$C21, Settings!$H:$H,0)), "")</f>
        <v>112.5</v>
      </c>
      <c r="CH21" s="19">
        <f>IFERROR(INDEX(Settings!$G:$G, MATCH('PROJECT NAME DEC'!$B21 &amp; "-" &amp; 'PROJECT NAME DEC'!$C21, Settings!$H:$H, 0)), "")</f>
        <v>900</v>
      </c>
      <c r="CI21" s="19">
        <f t="shared" si="2"/>
        <v>0</v>
      </c>
      <c r="CJ21" s="19">
        <f t="shared" si="19"/>
        <v>0</v>
      </c>
      <c r="CK21" s="19">
        <f t="shared" si="14"/>
        <v>0</v>
      </c>
      <c r="CM21" s="3"/>
      <c r="CN21" s="3"/>
      <c r="CO21" s="3"/>
      <c r="CP21" s="3"/>
      <c r="CQ21" s="3"/>
      <c r="CR21" s="3"/>
      <c r="CS21" s="8">
        <f t="shared" si="3"/>
        <v>0</v>
      </c>
      <c r="CT21" s="8">
        <f t="shared" si="3"/>
        <v>0</v>
      </c>
      <c r="CU21" s="19">
        <f>IFERROR(INDEX(Settings!$F:$F, MATCH('PROJECT NAME DEC'!$B21 &amp; "-" &amp; 'PROJECT NAME DEC'!$C21, Settings!$H:$H,0)), "")</f>
        <v>112.5</v>
      </c>
      <c r="CV21" s="19">
        <f>IFERROR(INDEX(Settings!$G:$G, MATCH('PROJECT NAME DEC'!$B21 &amp; "-" &amp; 'PROJECT NAME DEC'!$C21, Settings!$H:$H, 0)), "")</f>
        <v>900</v>
      </c>
      <c r="CW21" s="19">
        <v>0</v>
      </c>
      <c r="CX21" s="19">
        <f t="shared" si="15"/>
        <v>0</v>
      </c>
      <c r="CY21" s="19">
        <f t="shared" si="4"/>
        <v>0</v>
      </c>
      <c r="DA21" s="162"/>
      <c r="DB21" s="158"/>
      <c r="DC21" s="158"/>
      <c r="DD21" s="158"/>
      <c r="DE21" s="159"/>
      <c r="DF21" s="159"/>
      <c r="DG21" s="158"/>
      <c r="DH21" s="152" t="str">
        <f t="shared" si="16"/>
        <v>-</v>
      </c>
    </row>
    <row r="22" spans="2:120" x14ac:dyDescent="0.3">
      <c r="B22" s="3" t="s">
        <v>65</v>
      </c>
      <c r="C22" s="1" t="s">
        <v>28</v>
      </c>
      <c r="D22" s="1" t="s">
        <v>221</v>
      </c>
      <c r="E22" s="4" t="s">
        <v>185</v>
      </c>
      <c r="F22" s="21"/>
      <c r="G22" s="21"/>
      <c r="H22" s="21"/>
      <c r="I22" s="21"/>
      <c r="J22" s="21"/>
      <c r="K22" s="21"/>
      <c r="L22" s="124"/>
      <c r="M22" s="21"/>
      <c r="N22" s="21"/>
      <c r="O22" s="21"/>
      <c r="P22" s="124">
        <v>8</v>
      </c>
      <c r="Q22" s="124">
        <v>4</v>
      </c>
      <c r="R22" s="8">
        <f t="shared" si="5"/>
        <v>8</v>
      </c>
      <c r="S22" s="8">
        <f t="shared" si="5"/>
        <v>4</v>
      </c>
      <c r="T22" s="19">
        <f>IFERROR(INDEX(Settings!$F:$F, MATCH('PROJECT NAME DEC'!$B22 &amp; "-" &amp; 'PROJECT NAME DEC'!$C22, Settings!$H:$H,0)), "")</f>
        <v>112.5</v>
      </c>
      <c r="U22" s="19">
        <f>IFERROR(INDEX(Settings!$G:$G, MATCH('PROJECT NAME DEC'!$B22 &amp; "-" &amp; 'PROJECT NAME DEC'!$C22, Settings!$H:$H, 0)), "")</f>
        <v>900</v>
      </c>
      <c r="V22" s="19">
        <f t="shared" si="0"/>
        <v>1350</v>
      </c>
      <c r="W22" s="19">
        <f t="shared" si="17"/>
        <v>67.5</v>
      </c>
      <c r="X22" s="19">
        <f t="shared" si="6"/>
        <v>1282.5</v>
      </c>
      <c r="Y22" s="8">
        <v>8</v>
      </c>
      <c r="Z22" s="8">
        <v>4</v>
      </c>
      <c r="AA22" s="8">
        <v>8</v>
      </c>
      <c r="AB22" s="8">
        <v>7</v>
      </c>
      <c r="AC22" s="21">
        <v>8</v>
      </c>
      <c r="AD22" s="8">
        <v>0</v>
      </c>
      <c r="AE22" s="8">
        <v>8</v>
      </c>
      <c r="AF22" s="8">
        <v>0</v>
      </c>
      <c r="AG22" s="21"/>
      <c r="AH22" s="21"/>
      <c r="AI22" s="21"/>
      <c r="AJ22" s="21"/>
      <c r="AK22" s="21"/>
      <c r="AL22" s="21"/>
      <c r="AM22" s="44">
        <f>IFERROR(INDEX(Settings!$F:$F, MATCH('PROJECT NAME DEC'!$B22 &amp; "-" &amp; 'PROJECT NAME DEC'!$C22, Settings!$H:$H,0)), "")</f>
        <v>112.5</v>
      </c>
      <c r="AN22" s="44">
        <f>IFERROR(INDEX(Settings!$G:$G, MATCH('PROJECT NAME DEC'!$B22 &amp; "-" &amp; 'PROJECT NAME DEC'!$C22, Settings!$H:$H, 0)), "")</f>
        <v>900</v>
      </c>
      <c r="AO22" s="21">
        <f t="shared" si="7"/>
        <v>32</v>
      </c>
      <c r="AP22" s="21">
        <f t="shared" si="7"/>
        <v>11</v>
      </c>
      <c r="AQ22" s="44">
        <f t="shared" si="8"/>
        <v>4837.5</v>
      </c>
      <c r="AR22" s="44">
        <f t="shared" si="9"/>
        <v>241.875</v>
      </c>
      <c r="AS22" s="44">
        <f t="shared" si="10"/>
        <v>4595.625</v>
      </c>
      <c r="AT22" s="59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8"/>
      <c r="BG22" s="28"/>
      <c r="BH22" s="8"/>
      <c r="BI22" s="8">
        <f t="shared" si="11"/>
        <v>0</v>
      </c>
      <c r="BJ22" s="8">
        <f t="shared" si="11"/>
        <v>0</v>
      </c>
      <c r="BK22" s="19">
        <f>IFERROR(INDEX(Settings!$F:$F, MATCH('PROJECT NAME DEC'!$B22 &amp; "-" &amp; 'PROJECT NAME DEC'!$C22, Settings!$H:$H,0)), "")</f>
        <v>112.5</v>
      </c>
      <c r="BL22" s="19">
        <f>IFERROR(INDEX(Settings!$G:$G, MATCH('PROJECT NAME DEC'!$B22 &amp; "-" &amp; 'PROJECT NAME DEC'!$C22, Settings!$H:$H, 0)), "")</f>
        <v>900</v>
      </c>
      <c r="BM22" s="19">
        <f t="shared" si="1"/>
        <v>0</v>
      </c>
      <c r="BN22" s="19">
        <f t="shared" si="18"/>
        <v>0</v>
      </c>
      <c r="BO22" s="19">
        <f t="shared" si="12"/>
        <v>0</v>
      </c>
      <c r="BP22" s="54"/>
      <c r="BQ22" s="21"/>
      <c r="BR22" s="21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8">
        <f t="shared" si="13"/>
        <v>0</v>
      </c>
      <c r="CF22" s="8">
        <f t="shared" si="13"/>
        <v>0</v>
      </c>
      <c r="CG22" s="19">
        <f>IFERROR(INDEX(Settings!$F:$F, MATCH('PROJECT NAME DEC'!$B22 &amp; "-" &amp; 'PROJECT NAME DEC'!$C22, Settings!$H:$H,0)), "")</f>
        <v>112.5</v>
      </c>
      <c r="CH22" s="19">
        <f>IFERROR(INDEX(Settings!$G:$G, MATCH('PROJECT NAME DEC'!$B22 &amp; "-" &amp; 'PROJECT NAME DEC'!$C22, Settings!$H:$H, 0)), "")</f>
        <v>900</v>
      </c>
      <c r="CI22" s="19">
        <f t="shared" si="2"/>
        <v>0</v>
      </c>
      <c r="CJ22" s="19">
        <f t="shared" si="19"/>
        <v>0</v>
      </c>
      <c r="CK22" s="19">
        <f t="shared" si="14"/>
        <v>0</v>
      </c>
      <c r="CM22" s="3"/>
      <c r="CN22" s="3"/>
      <c r="CO22" s="3"/>
      <c r="CP22" s="3"/>
      <c r="CQ22" s="3"/>
      <c r="CR22" s="3"/>
      <c r="CS22" s="8">
        <f t="shared" si="3"/>
        <v>0</v>
      </c>
      <c r="CT22" s="8">
        <f t="shared" si="3"/>
        <v>0</v>
      </c>
      <c r="CU22" s="19">
        <f>IFERROR(INDEX(Settings!$F:$F, MATCH('PROJECT NAME DEC'!$B22 &amp; "-" &amp; 'PROJECT NAME DEC'!$C22, Settings!$H:$H,0)), "")</f>
        <v>112.5</v>
      </c>
      <c r="CV22" s="19">
        <f>IFERROR(INDEX(Settings!$G:$G, MATCH('PROJECT NAME DEC'!$B22 &amp; "-" &amp; 'PROJECT NAME DEC'!$C22, Settings!$H:$H, 0)), "")</f>
        <v>900</v>
      </c>
      <c r="CW22" s="19">
        <v>0</v>
      </c>
      <c r="CX22" s="19">
        <f t="shared" si="15"/>
        <v>0</v>
      </c>
      <c r="CY22" s="19">
        <f t="shared" si="4"/>
        <v>0</v>
      </c>
      <c r="DA22" s="162"/>
      <c r="DB22" s="158"/>
      <c r="DC22" s="158"/>
      <c r="DD22" s="158"/>
      <c r="DE22" s="159"/>
      <c r="DF22" s="159"/>
      <c r="DG22" s="158"/>
      <c r="DH22" s="153" t="str">
        <f t="shared" si="16"/>
        <v>-</v>
      </c>
      <c r="DK22" s="101"/>
      <c r="DL22" s="2"/>
      <c r="DM22" s="10"/>
      <c r="DN22" s="10"/>
      <c r="DO22" s="104"/>
      <c r="DP22" s="104"/>
    </row>
    <row r="23" spans="2:120" x14ac:dyDescent="0.3">
      <c r="B23" s="3" t="s">
        <v>65</v>
      </c>
      <c r="C23" s="1" t="s">
        <v>29</v>
      </c>
      <c r="D23" s="1" t="s">
        <v>222</v>
      </c>
      <c r="E23" s="4" t="s">
        <v>75</v>
      </c>
      <c r="F23" s="21"/>
      <c r="G23" s="21"/>
      <c r="H23" s="21"/>
      <c r="I23" s="21"/>
      <c r="J23" s="21"/>
      <c r="K23" s="21"/>
      <c r="L23" s="124">
        <v>8</v>
      </c>
      <c r="M23" s="21">
        <v>4</v>
      </c>
      <c r="N23" s="21">
        <v>8</v>
      </c>
      <c r="O23" s="21">
        <v>4</v>
      </c>
      <c r="P23" s="21">
        <v>8</v>
      </c>
      <c r="Q23" s="124">
        <v>4</v>
      </c>
      <c r="R23" s="8">
        <f t="shared" si="5"/>
        <v>24</v>
      </c>
      <c r="S23" s="8">
        <f t="shared" si="5"/>
        <v>12</v>
      </c>
      <c r="T23" s="19">
        <f>IFERROR(INDEX(Settings!$F:$F, MATCH('PROJECT NAME DEC'!$B23 &amp; "-" &amp; 'PROJECT NAME DEC'!$C23, Settings!$H:$H,0)), "")</f>
        <v>106.25</v>
      </c>
      <c r="U23" s="19">
        <f>IFERROR(INDEX(Settings!$G:$G, MATCH('PROJECT NAME DEC'!$B23 &amp; "-" &amp; 'PROJECT NAME DEC'!$C23, Settings!$H:$H, 0)), "")</f>
        <v>850</v>
      </c>
      <c r="V23" s="19">
        <f t="shared" si="0"/>
        <v>3825</v>
      </c>
      <c r="W23" s="19">
        <f t="shared" si="17"/>
        <v>191.25</v>
      </c>
      <c r="X23" s="19">
        <f t="shared" si="6"/>
        <v>3633.75</v>
      </c>
      <c r="Y23" s="8">
        <v>8</v>
      </c>
      <c r="Z23" s="8">
        <v>4</v>
      </c>
      <c r="AA23" s="21">
        <v>8</v>
      </c>
      <c r="AB23" s="8">
        <v>7</v>
      </c>
      <c r="AC23" s="21">
        <v>8</v>
      </c>
      <c r="AD23" s="8">
        <v>0</v>
      </c>
      <c r="AE23" s="8">
        <v>8</v>
      </c>
      <c r="AF23" s="8">
        <v>0</v>
      </c>
      <c r="AG23" s="21"/>
      <c r="AH23" s="21"/>
      <c r="AI23" s="21"/>
      <c r="AJ23" s="21"/>
      <c r="AK23" s="21"/>
      <c r="AL23" s="21"/>
      <c r="AM23" s="44">
        <f>IFERROR(INDEX(Settings!$F:$F, MATCH('PROJECT NAME DEC'!$B23 &amp; "-" &amp; 'PROJECT NAME DEC'!$C23, Settings!$H:$H,0)), "")</f>
        <v>106.25</v>
      </c>
      <c r="AN23" s="44">
        <f>IFERROR(INDEX(Settings!$G:$G, MATCH('PROJECT NAME DEC'!$B23 &amp; "-" &amp; 'PROJECT NAME DEC'!$C23, Settings!$H:$H, 0)), "")</f>
        <v>850</v>
      </c>
      <c r="AO23" s="21">
        <f t="shared" si="7"/>
        <v>32</v>
      </c>
      <c r="AP23" s="21">
        <f t="shared" si="7"/>
        <v>11</v>
      </c>
      <c r="AQ23" s="44">
        <f t="shared" si="8"/>
        <v>4568.75</v>
      </c>
      <c r="AR23" s="44">
        <f t="shared" si="9"/>
        <v>228.4375</v>
      </c>
      <c r="AS23" s="44">
        <f t="shared" si="10"/>
        <v>4340.3125</v>
      </c>
      <c r="AT23" s="59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8"/>
      <c r="BG23" s="28"/>
      <c r="BH23" s="8"/>
      <c r="BI23" s="8">
        <f t="shared" si="11"/>
        <v>0</v>
      </c>
      <c r="BJ23" s="8">
        <f t="shared" si="11"/>
        <v>0</v>
      </c>
      <c r="BK23" s="19">
        <f>IFERROR(INDEX(Settings!$F:$F, MATCH('PROJECT NAME DEC'!$B23 &amp; "-" &amp; 'PROJECT NAME DEC'!$C23, Settings!$H:$H,0)), "")</f>
        <v>106.25</v>
      </c>
      <c r="BL23" s="19">
        <f>IFERROR(INDEX(Settings!$G:$G, MATCH('PROJECT NAME DEC'!$B23 &amp; "-" &amp; 'PROJECT NAME DEC'!$C23, Settings!$H:$H, 0)), "")</f>
        <v>850</v>
      </c>
      <c r="BM23" s="19">
        <f t="shared" si="1"/>
        <v>0</v>
      </c>
      <c r="BN23" s="19">
        <f t="shared" si="18"/>
        <v>0</v>
      </c>
      <c r="BO23" s="19">
        <f t="shared" si="12"/>
        <v>0</v>
      </c>
      <c r="BP23" s="54"/>
      <c r="BQ23" s="21"/>
      <c r="BR23" s="21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8">
        <f t="shared" si="13"/>
        <v>0</v>
      </c>
      <c r="CF23" s="8">
        <f t="shared" si="13"/>
        <v>0</v>
      </c>
      <c r="CG23" s="19">
        <f>IFERROR(INDEX(Settings!$F:$F, MATCH('PROJECT NAME DEC'!$B23 &amp; "-" &amp; 'PROJECT NAME DEC'!$C23, Settings!$H:$H,0)), "")</f>
        <v>106.25</v>
      </c>
      <c r="CH23" s="19">
        <f>IFERROR(INDEX(Settings!$G:$G, MATCH('PROJECT NAME DEC'!$B23 &amp; "-" &amp; 'PROJECT NAME DEC'!$C23, Settings!$H:$H, 0)), "")</f>
        <v>850</v>
      </c>
      <c r="CI23" s="19">
        <f t="shared" si="2"/>
        <v>0</v>
      </c>
      <c r="CJ23" s="19">
        <f t="shared" si="19"/>
        <v>0</v>
      </c>
      <c r="CK23" s="19">
        <f t="shared" si="14"/>
        <v>0</v>
      </c>
      <c r="CM23" s="3"/>
      <c r="CN23" s="3"/>
      <c r="CO23" s="3"/>
      <c r="CP23" s="3"/>
      <c r="CQ23" s="3"/>
      <c r="CR23" s="3"/>
      <c r="CS23" s="8">
        <f t="shared" si="3"/>
        <v>0</v>
      </c>
      <c r="CT23" s="8">
        <f t="shared" si="3"/>
        <v>0</v>
      </c>
      <c r="CU23" s="19">
        <f>IFERROR(INDEX(Settings!$F:$F, MATCH('PROJECT NAME DEC'!$B23 &amp; "-" &amp; 'PROJECT NAME DEC'!$C23, Settings!$H:$H,0)), "")</f>
        <v>106.25</v>
      </c>
      <c r="CV23" s="19">
        <f>IFERROR(INDEX(Settings!$G:$G, MATCH('PROJECT NAME DEC'!$B23 &amp; "-" &amp; 'PROJECT NAME DEC'!$C23, Settings!$H:$H, 0)), "")</f>
        <v>850</v>
      </c>
      <c r="CW23" s="19">
        <v>0</v>
      </c>
      <c r="CX23" s="19">
        <f t="shared" si="15"/>
        <v>0</v>
      </c>
      <c r="CY23" s="19">
        <f t="shared" si="4"/>
        <v>0</v>
      </c>
      <c r="DA23" s="162"/>
      <c r="DB23" s="158"/>
      <c r="DC23" s="158"/>
      <c r="DD23" s="158"/>
      <c r="DE23" s="159"/>
      <c r="DF23" s="159"/>
      <c r="DG23" s="158"/>
      <c r="DH23" s="152" t="str">
        <f t="shared" si="16"/>
        <v>-</v>
      </c>
    </row>
    <row r="24" spans="2:120" x14ac:dyDescent="0.3">
      <c r="B24" s="3" t="s">
        <v>65</v>
      </c>
      <c r="C24" s="1" t="s">
        <v>29</v>
      </c>
      <c r="D24" s="1" t="s">
        <v>223</v>
      </c>
      <c r="E24" s="4" t="s">
        <v>76</v>
      </c>
      <c r="F24" s="21"/>
      <c r="G24" s="21"/>
      <c r="H24" s="21"/>
      <c r="I24" s="21"/>
      <c r="J24" s="21"/>
      <c r="K24" s="21"/>
      <c r="L24" s="124">
        <v>8</v>
      </c>
      <c r="M24" s="21">
        <v>4</v>
      </c>
      <c r="N24" s="21">
        <v>8</v>
      </c>
      <c r="O24" s="21">
        <v>4</v>
      </c>
      <c r="P24" s="21">
        <v>8</v>
      </c>
      <c r="Q24" s="124">
        <v>4</v>
      </c>
      <c r="R24" s="8">
        <f t="shared" si="5"/>
        <v>24</v>
      </c>
      <c r="S24" s="8">
        <f t="shared" si="5"/>
        <v>12</v>
      </c>
      <c r="T24" s="19">
        <f>IFERROR(INDEX(Settings!$F:$F, MATCH('PROJECT NAME DEC'!$B24 &amp; "-" &amp; 'PROJECT NAME DEC'!$C24, Settings!$H:$H,0)), "")</f>
        <v>106.25</v>
      </c>
      <c r="U24" s="19">
        <f>IFERROR(INDEX(Settings!$G:$G, MATCH('PROJECT NAME DEC'!$B24 &amp; "-" &amp; 'PROJECT NAME DEC'!$C24, Settings!$H:$H, 0)), "")</f>
        <v>850</v>
      </c>
      <c r="V24" s="19">
        <f t="shared" si="0"/>
        <v>3825</v>
      </c>
      <c r="W24" s="19">
        <f t="shared" si="17"/>
        <v>191.25</v>
      </c>
      <c r="X24" s="19">
        <f t="shared" si="6"/>
        <v>3633.75</v>
      </c>
      <c r="Y24" s="8">
        <v>8</v>
      </c>
      <c r="Z24" s="8">
        <v>4</v>
      </c>
      <c r="AA24" s="21">
        <v>8</v>
      </c>
      <c r="AB24" s="8">
        <v>7</v>
      </c>
      <c r="AC24" s="21">
        <v>8</v>
      </c>
      <c r="AD24" s="8">
        <v>0</v>
      </c>
      <c r="AE24" s="8">
        <v>8</v>
      </c>
      <c r="AF24" s="8">
        <v>0</v>
      </c>
      <c r="AG24" s="21"/>
      <c r="AH24" s="21"/>
      <c r="AI24" s="21"/>
      <c r="AJ24" s="21"/>
      <c r="AK24" s="21"/>
      <c r="AL24" s="21"/>
      <c r="AM24" s="44">
        <f>IFERROR(INDEX(Settings!$F:$F, MATCH('PROJECT NAME DEC'!$B24 &amp; "-" &amp; 'PROJECT NAME DEC'!$C24, Settings!$H:$H,0)), "")</f>
        <v>106.25</v>
      </c>
      <c r="AN24" s="44">
        <f>IFERROR(INDEX(Settings!$G:$G, MATCH('PROJECT NAME DEC'!$B24 &amp; "-" &amp; 'PROJECT NAME DEC'!$C24, Settings!$H:$H, 0)), "")</f>
        <v>850</v>
      </c>
      <c r="AO24" s="21">
        <f t="shared" si="7"/>
        <v>32</v>
      </c>
      <c r="AP24" s="21">
        <f t="shared" si="7"/>
        <v>11</v>
      </c>
      <c r="AQ24" s="44">
        <f t="shared" si="8"/>
        <v>4568.75</v>
      </c>
      <c r="AR24" s="44">
        <f t="shared" si="9"/>
        <v>228.4375</v>
      </c>
      <c r="AS24" s="44">
        <f t="shared" si="10"/>
        <v>4340.3125</v>
      </c>
      <c r="AT24" s="59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8"/>
      <c r="BG24" s="28"/>
      <c r="BH24" s="8"/>
      <c r="BI24" s="8">
        <f t="shared" si="11"/>
        <v>0</v>
      </c>
      <c r="BJ24" s="8">
        <f t="shared" si="11"/>
        <v>0</v>
      </c>
      <c r="BK24" s="19">
        <f>IFERROR(INDEX(Settings!$F:$F, MATCH('PROJECT NAME DEC'!$B24 &amp; "-" &amp; 'PROJECT NAME DEC'!$C24, Settings!$H:$H,0)), "")</f>
        <v>106.25</v>
      </c>
      <c r="BL24" s="19">
        <f>IFERROR(INDEX(Settings!$G:$G, MATCH('PROJECT NAME DEC'!$B24 &amp; "-" &amp; 'PROJECT NAME DEC'!$C24, Settings!$H:$H, 0)), "")</f>
        <v>850</v>
      </c>
      <c r="BM24" s="19">
        <f t="shared" si="1"/>
        <v>0</v>
      </c>
      <c r="BN24" s="19">
        <f t="shared" si="18"/>
        <v>0</v>
      </c>
      <c r="BO24" s="19">
        <f t="shared" si="12"/>
        <v>0</v>
      </c>
      <c r="BP24" s="54"/>
      <c r="BQ24" s="21"/>
      <c r="BR24" s="21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8">
        <f t="shared" si="13"/>
        <v>0</v>
      </c>
      <c r="CF24" s="8">
        <f t="shared" si="13"/>
        <v>0</v>
      </c>
      <c r="CG24" s="19">
        <f>IFERROR(INDEX(Settings!$F:$F, MATCH('PROJECT NAME DEC'!$B24 &amp; "-" &amp; 'PROJECT NAME DEC'!$C24, Settings!$H:$H,0)), "")</f>
        <v>106.25</v>
      </c>
      <c r="CH24" s="19">
        <f>IFERROR(INDEX(Settings!$G:$G, MATCH('PROJECT NAME DEC'!$B24 &amp; "-" &amp; 'PROJECT NAME DEC'!$C24, Settings!$H:$H, 0)), "")</f>
        <v>850</v>
      </c>
      <c r="CI24" s="19">
        <f t="shared" si="2"/>
        <v>0</v>
      </c>
      <c r="CJ24" s="19">
        <f t="shared" si="19"/>
        <v>0</v>
      </c>
      <c r="CK24" s="19">
        <f t="shared" si="14"/>
        <v>0</v>
      </c>
      <c r="CM24" s="3"/>
      <c r="CN24" s="3"/>
      <c r="CO24" s="3"/>
      <c r="CP24" s="3"/>
      <c r="CQ24" s="3"/>
      <c r="CR24" s="3"/>
      <c r="CS24" s="8">
        <f t="shared" si="3"/>
        <v>0</v>
      </c>
      <c r="CT24" s="8">
        <f t="shared" si="3"/>
        <v>0</v>
      </c>
      <c r="CU24" s="19">
        <f>IFERROR(INDEX(Settings!$F:$F, MATCH('PROJECT NAME DEC'!$B24 &amp; "-" &amp; 'PROJECT NAME DEC'!$C24, Settings!$H:$H,0)), "")</f>
        <v>106.25</v>
      </c>
      <c r="CV24" s="19">
        <f>IFERROR(INDEX(Settings!$G:$G, MATCH('PROJECT NAME DEC'!$B24 &amp; "-" &amp; 'PROJECT NAME DEC'!$C24, Settings!$H:$H, 0)), "")</f>
        <v>850</v>
      </c>
      <c r="CW24" s="19">
        <v>0</v>
      </c>
      <c r="CX24" s="19">
        <f t="shared" si="15"/>
        <v>0</v>
      </c>
      <c r="CY24" s="19">
        <f t="shared" si="4"/>
        <v>0</v>
      </c>
      <c r="DA24" s="162"/>
      <c r="DB24" s="158"/>
      <c r="DC24" s="158"/>
      <c r="DD24" s="158"/>
      <c r="DE24" s="159"/>
      <c r="DF24" s="159"/>
      <c r="DG24" s="158"/>
      <c r="DH24" s="153" t="str">
        <f t="shared" si="16"/>
        <v>-</v>
      </c>
    </row>
    <row r="25" spans="2:120" x14ac:dyDescent="0.3">
      <c r="B25" s="3" t="s">
        <v>65</v>
      </c>
      <c r="C25" s="1" t="s">
        <v>29</v>
      </c>
      <c r="D25" s="1" t="s">
        <v>224</v>
      </c>
      <c r="E25" s="4" t="s">
        <v>77</v>
      </c>
      <c r="F25" s="21"/>
      <c r="G25" s="21"/>
      <c r="H25" s="21"/>
      <c r="I25" s="21"/>
      <c r="J25" s="21"/>
      <c r="K25" s="21"/>
      <c r="L25" s="124">
        <v>8</v>
      </c>
      <c r="M25" s="21">
        <v>4</v>
      </c>
      <c r="N25" s="21">
        <v>8</v>
      </c>
      <c r="O25" s="21">
        <v>4</v>
      </c>
      <c r="P25" s="21">
        <v>8</v>
      </c>
      <c r="Q25" s="124">
        <v>4</v>
      </c>
      <c r="R25" s="8">
        <f t="shared" si="5"/>
        <v>24</v>
      </c>
      <c r="S25" s="8">
        <f t="shared" si="5"/>
        <v>12</v>
      </c>
      <c r="T25" s="19">
        <f>IFERROR(INDEX(Settings!$F:$F, MATCH('PROJECT NAME DEC'!$B25 &amp; "-" &amp; 'PROJECT NAME DEC'!$C25, Settings!$H:$H,0)), "")</f>
        <v>106.25</v>
      </c>
      <c r="U25" s="19">
        <f>IFERROR(INDEX(Settings!$G:$G, MATCH('PROJECT NAME DEC'!$B25 &amp; "-" &amp; 'PROJECT NAME DEC'!$C25, Settings!$H:$H, 0)), "")</f>
        <v>850</v>
      </c>
      <c r="V25" s="19">
        <f t="shared" si="0"/>
        <v>3825</v>
      </c>
      <c r="W25" s="19">
        <f t="shared" si="17"/>
        <v>191.25</v>
      </c>
      <c r="X25" s="19">
        <f t="shared" si="6"/>
        <v>3633.75</v>
      </c>
      <c r="Y25" s="8">
        <v>8</v>
      </c>
      <c r="Z25" s="8">
        <v>4</v>
      </c>
      <c r="AA25" s="21">
        <v>8</v>
      </c>
      <c r="AB25" s="8">
        <v>7</v>
      </c>
      <c r="AC25" s="21">
        <v>8</v>
      </c>
      <c r="AD25" s="8">
        <v>0</v>
      </c>
      <c r="AE25" s="8">
        <v>8</v>
      </c>
      <c r="AF25" s="8">
        <v>0</v>
      </c>
      <c r="AG25" s="21"/>
      <c r="AH25" s="21"/>
      <c r="AI25" s="21"/>
      <c r="AJ25" s="21"/>
      <c r="AK25" s="21"/>
      <c r="AL25" s="21"/>
      <c r="AM25" s="44">
        <f>IFERROR(INDEX(Settings!$F:$F, MATCH('PROJECT NAME DEC'!$B25 &amp; "-" &amp; 'PROJECT NAME DEC'!$C25, Settings!$H:$H,0)), "")</f>
        <v>106.25</v>
      </c>
      <c r="AN25" s="44">
        <f>IFERROR(INDEX(Settings!$G:$G, MATCH('PROJECT NAME DEC'!$B25 &amp; "-" &amp; 'PROJECT NAME DEC'!$C25, Settings!$H:$H, 0)), "")</f>
        <v>850</v>
      </c>
      <c r="AO25" s="21">
        <f t="shared" si="7"/>
        <v>32</v>
      </c>
      <c r="AP25" s="21">
        <f t="shared" si="7"/>
        <v>11</v>
      </c>
      <c r="AQ25" s="44">
        <f t="shared" si="8"/>
        <v>4568.75</v>
      </c>
      <c r="AR25" s="44">
        <f t="shared" si="9"/>
        <v>228.4375</v>
      </c>
      <c r="AS25" s="44">
        <f t="shared" si="10"/>
        <v>4340.3125</v>
      </c>
      <c r="AT25" s="59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8"/>
      <c r="BG25" s="28"/>
      <c r="BH25" s="8"/>
      <c r="BI25" s="8">
        <f t="shared" si="11"/>
        <v>0</v>
      </c>
      <c r="BJ25" s="8">
        <f t="shared" si="11"/>
        <v>0</v>
      </c>
      <c r="BK25" s="19">
        <f>IFERROR(INDEX(Settings!$F:$F, MATCH('PROJECT NAME DEC'!$B25 &amp; "-" &amp; 'PROJECT NAME DEC'!$C25, Settings!$H:$H,0)), "")</f>
        <v>106.25</v>
      </c>
      <c r="BL25" s="19">
        <f>IFERROR(INDEX(Settings!$G:$G, MATCH('PROJECT NAME DEC'!$B25 &amp; "-" &amp; 'PROJECT NAME DEC'!$C25, Settings!$H:$H, 0)), "")</f>
        <v>850</v>
      </c>
      <c r="BM25" s="19">
        <f t="shared" si="1"/>
        <v>0</v>
      </c>
      <c r="BN25" s="19">
        <f t="shared" si="18"/>
        <v>0</v>
      </c>
      <c r="BO25" s="19">
        <f t="shared" si="12"/>
        <v>0</v>
      </c>
      <c r="BP25" s="54"/>
      <c r="BQ25" s="21"/>
      <c r="BR25" s="21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8">
        <f t="shared" si="13"/>
        <v>0</v>
      </c>
      <c r="CF25" s="8">
        <f t="shared" si="13"/>
        <v>0</v>
      </c>
      <c r="CG25" s="19">
        <f>IFERROR(INDEX(Settings!$F:$F, MATCH('PROJECT NAME DEC'!$B25 &amp; "-" &amp; 'PROJECT NAME DEC'!$C25, Settings!$H:$H,0)), "")</f>
        <v>106.25</v>
      </c>
      <c r="CH25" s="19">
        <f>IFERROR(INDEX(Settings!$G:$G, MATCH('PROJECT NAME DEC'!$B25 &amp; "-" &amp; 'PROJECT NAME DEC'!$C25, Settings!$H:$H, 0)), "")</f>
        <v>850</v>
      </c>
      <c r="CI25" s="19">
        <f t="shared" si="2"/>
        <v>0</v>
      </c>
      <c r="CJ25" s="19">
        <f t="shared" si="19"/>
        <v>0</v>
      </c>
      <c r="CK25" s="19">
        <f t="shared" si="14"/>
        <v>0</v>
      </c>
      <c r="CM25" s="3"/>
      <c r="CN25" s="3"/>
      <c r="CO25" s="3"/>
      <c r="CP25" s="3"/>
      <c r="CQ25" s="3"/>
      <c r="CR25" s="3"/>
      <c r="CS25" s="8">
        <f t="shared" si="3"/>
        <v>0</v>
      </c>
      <c r="CT25" s="8">
        <f t="shared" si="3"/>
        <v>0</v>
      </c>
      <c r="CU25" s="19">
        <f>IFERROR(INDEX(Settings!$F:$F, MATCH('PROJECT NAME DEC'!$B25 &amp; "-" &amp; 'PROJECT NAME DEC'!$C25, Settings!$H:$H,0)), "")</f>
        <v>106.25</v>
      </c>
      <c r="CV25" s="19">
        <f>IFERROR(INDEX(Settings!$G:$G, MATCH('PROJECT NAME DEC'!$B25 &amp; "-" &amp; 'PROJECT NAME DEC'!$C25, Settings!$H:$H, 0)), "")</f>
        <v>850</v>
      </c>
      <c r="CW25" s="19">
        <v>0</v>
      </c>
      <c r="CX25" s="19">
        <f t="shared" si="15"/>
        <v>0</v>
      </c>
      <c r="CY25" s="19">
        <f t="shared" si="4"/>
        <v>0</v>
      </c>
      <c r="DA25" s="162"/>
      <c r="DB25" s="158"/>
      <c r="DC25" s="158"/>
      <c r="DD25" s="158"/>
      <c r="DE25" s="159"/>
      <c r="DF25" s="159"/>
      <c r="DG25" s="158"/>
      <c r="DH25" s="152" t="str">
        <f t="shared" si="16"/>
        <v>-</v>
      </c>
    </row>
    <row r="26" spans="2:120" x14ac:dyDescent="0.3">
      <c r="B26" s="3" t="s">
        <v>65</v>
      </c>
      <c r="C26" s="1" t="s">
        <v>29</v>
      </c>
      <c r="D26" s="1" t="s">
        <v>225</v>
      </c>
      <c r="E26" s="4" t="s">
        <v>186</v>
      </c>
      <c r="F26" s="21"/>
      <c r="G26" s="21"/>
      <c r="H26" s="21"/>
      <c r="I26" s="21"/>
      <c r="J26" s="21"/>
      <c r="K26" s="21"/>
      <c r="L26" s="124">
        <v>8</v>
      </c>
      <c r="M26" s="21">
        <v>4</v>
      </c>
      <c r="N26" s="21">
        <v>8</v>
      </c>
      <c r="O26" s="21">
        <v>4</v>
      </c>
      <c r="P26" s="21">
        <v>8</v>
      </c>
      <c r="Q26" s="124">
        <v>4</v>
      </c>
      <c r="R26" s="8">
        <f t="shared" si="5"/>
        <v>24</v>
      </c>
      <c r="S26" s="8">
        <f t="shared" si="5"/>
        <v>12</v>
      </c>
      <c r="T26" s="19">
        <f>IFERROR(INDEX(Settings!$F:$F, MATCH('PROJECT NAME DEC'!$B26 &amp; "-" &amp; 'PROJECT NAME DEC'!$C26, Settings!$H:$H,0)), "")</f>
        <v>106.25</v>
      </c>
      <c r="U26" s="19">
        <f>IFERROR(INDEX(Settings!$G:$G, MATCH('PROJECT NAME DEC'!$B26 &amp; "-" &amp; 'PROJECT NAME DEC'!$C26, Settings!$H:$H, 0)), "")</f>
        <v>850</v>
      </c>
      <c r="V26" s="19">
        <f t="shared" si="0"/>
        <v>3825</v>
      </c>
      <c r="W26" s="19">
        <f t="shared" si="17"/>
        <v>191.25</v>
      </c>
      <c r="X26" s="19">
        <f t="shared" si="6"/>
        <v>3633.75</v>
      </c>
      <c r="Y26" s="8">
        <v>8</v>
      </c>
      <c r="Z26" s="8">
        <v>4</v>
      </c>
      <c r="AA26" s="21">
        <v>8</v>
      </c>
      <c r="AB26" s="8">
        <v>7</v>
      </c>
      <c r="AC26" s="21">
        <v>8</v>
      </c>
      <c r="AD26" s="8">
        <v>0</v>
      </c>
      <c r="AE26" s="8">
        <v>8</v>
      </c>
      <c r="AF26" s="8">
        <v>0</v>
      </c>
      <c r="AG26" s="21"/>
      <c r="AH26" s="21"/>
      <c r="AI26" s="21"/>
      <c r="AJ26" s="21"/>
      <c r="AK26" s="21"/>
      <c r="AL26" s="21"/>
      <c r="AM26" s="44">
        <f>IFERROR(INDEX(Settings!$F:$F, MATCH('PROJECT NAME DEC'!$B26 &amp; "-" &amp; 'PROJECT NAME DEC'!$C26, Settings!$H:$H,0)), "")</f>
        <v>106.25</v>
      </c>
      <c r="AN26" s="44">
        <f>IFERROR(INDEX(Settings!$G:$G, MATCH('PROJECT NAME DEC'!$B26 &amp; "-" &amp; 'PROJECT NAME DEC'!$C26, Settings!$H:$H, 0)), "")</f>
        <v>850</v>
      </c>
      <c r="AO26" s="21">
        <f t="shared" si="7"/>
        <v>32</v>
      </c>
      <c r="AP26" s="21">
        <f t="shared" si="7"/>
        <v>11</v>
      </c>
      <c r="AQ26" s="44">
        <f t="shared" si="8"/>
        <v>4568.75</v>
      </c>
      <c r="AR26" s="44">
        <f t="shared" si="9"/>
        <v>228.4375</v>
      </c>
      <c r="AS26" s="44">
        <f t="shared" si="10"/>
        <v>4340.3125</v>
      </c>
      <c r="AT26" s="59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8"/>
      <c r="BG26" s="28"/>
      <c r="BH26" s="8"/>
      <c r="BI26" s="8">
        <f t="shared" si="11"/>
        <v>0</v>
      </c>
      <c r="BJ26" s="8">
        <f t="shared" si="11"/>
        <v>0</v>
      </c>
      <c r="BK26" s="19">
        <f>IFERROR(INDEX(Settings!$F:$F, MATCH('PROJECT NAME DEC'!$B26 &amp; "-" &amp; 'PROJECT NAME DEC'!$C26, Settings!$H:$H,0)), "")</f>
        <v>106.25</v>
      </c>
      <c r="BL26" s="19">
        <f>IFERROR(INDEX(Settings!$G:$G, MATCH('PROJECT NAME DEC'!$B26 &amp; "-" &amp; 'PROJECT NAME DEC'!$C26, Settings!$H:$H, 0)), "")</f>
        <v>850</v>
      </c>
      <c r="BM26" s="19">
        <f t="shared" si="1"/>
        <v>0</v>
      </c>
      <c r="BN26" s="19">
        <f t="shared" si="18"/>
        <v>0</v>
      </c>
      <c r="BO26" s="19">
        <f t="shared" si="12"/>
        <v>0</v>
      </c>
      <c r="BP26" s="54"/>
      <c r="BQ26" s="21"/>
      <c r="BR26" s="21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8">
        <f t="shared" si="13"/>
        <v>0</v>
      </c>
      <c r="CF26" s="8">
        <f t="shared" si="13"/>
        <v>0</v>
      </c>
      <c r="CG26" s="19">
        <f>IFERROR(INDEX(Settings!$F:$F, MATCH('PROJECT NAME DEC'!$B26 &amp; "-" &amp; 'PROJECT NAME DEC'!$C26, Settings!$H:$H,0)), "")</f>
        <v>106.25</v>
      </c>
      <c r="CH26" s="19">
        <f>IFERROR(INDEX(Settings!$G:$G, MATCH('PROJECT NAME DEC'!$B26 &amp; "-" &amp; 'PROJECT NAME DEC'!$C26, Settings!$H:$H, 0)), "")</f>
        <v>850</v>
      </c>
      <c r="CI26" s="19">
        <f t="shared" si="2"/>
        <v>0</v>
      </c>
      <c r="CJ26" s="19">
        <f t="shared" si="19"/>
        <v>0</v>
      </c>
      <c r="CK26" s="19">
        <f t="shared" si="14"/>
        <v>0</v>
      </c>
      <c r="CM26" s="3"/>
      <c r="CN26" s="3"/>
      <c r="CO26" s="3"/>
      <c r="CP26" s="3"/>
      <c r="CQ26" s="3"/>
      <c r="CR26" s="3"/>
      <c r="CS26" s="8">
        <f t="shared" si="3"/>
        <v>0</v>
      </c>
      <c r="CT26" s="8">
        <f t="shared" si="3"/>
        <v>0</v>
      </c>
      <c r="CU26" s="19">
        <f>IFERROR(INDEX(Settings!$F:$F, MATCH('PROJECT NAME DEC'!$B26 &amp; "-" &amp; 'PROJECT NAME DEC'!$C26, Settings!$H:$H,0)), "")</f>
        <v>106.25</v>
      </c>
      <c r="CV26" s="19">
        <f>IFERROR(INDEX(Settings!$G:$G, MATCH('PROJECT NAME DEC'!$B26 &amp; "-" &amp; 'PROJECT NAME DEC'!$C26, Settings!$H:$H, 0)), "")</f>
        <v>850</v>
      </c>
      <c r="CW26" s="19">
        <v>0</v>
      </c>
      <c r="CX26" s="19">
        <f t="shared" si="15"/>
        <v>0</v>
      </c>
      <c r="CY26" s="19">
        <f t="shared" si="4"/>
        <v>0</v>
      </c>
      <c r="DA26" s="162"/>
      <c r="DB26" s="158"/>
      <c r="DC26" s="158"/>
      <c r="DD26" s="158"/>
      <c r="DE26" s="159"/>
      <c r="DF26" s="159"/>
      <c r="DG26" s="158"/>
      <c r="DH26" s="153" t="str">
        <f t="shared" si="16"/>
        <v>-</v>
      </c>
    </row>
    <row r="27" spans="2:120" x14ac:dyDescent="0.3">
      <c r="B27" s="3" t="s">
        <v>65</v>
      </c>
      <c r="C27" s="1" t="s">
        <v>29</v>
      </c>
      <c r="D27" s="1" t="s">
        <v>226</v>
      </c>
      <c r="E27" s="4" t="s">
        <v>78</v>
      </c>
      <c r="F27" s="21"/>
      <c r="G27" s="21"/>
      <c r="H27" s="21"/>
      <c r="I27" s="21"/>
      <c r="J27" s="21"/>
      <c r="K27" s="21"/>
      <c r="L27" s="124">
        <v>8</v>
      </c>
      <c r="M27" s="21">
        <v>4</v>
      </c>
      <c r="N27" s="21">
        <v>8</v>
      </c>
      <c r="O27" s="21">
        <v>4</v>
      </c>
      <c r="P27" s="21">
        <v>8</v>
      </c>
      <c r="Q27" s="124">
        <v>4</v>
      </c>
      <c r="R27" s="8">
        <f t="shared" si="5"/>
        <v>24</v>
      </c>
      <c r="S27" s="8">
        <f t="shared" si="5"/>
        <v>12</v>
      </c>
      <c r="T27" s="19">
        <f>IFERROR(INDEX(Settings!$F:$F, MATCH('PROJECT NAME DEC'!$B27 &amp; "-" &amp; 'PROJECT NAME DEC'!$C27, Settings!$H:$H,0)), "")</f>
        <v>106.25</v>
      </c>
      <c r="U27" s="19">
        <f>IFERROR(INDEX(Settings!$G:$G, MATCH('PROJECT NAME DEC'!$B27 &amp; "-" &amp; 'PROJECT NAME DEC'!$C27, Settings!$H:$H, 0)), "")</f>
        <v>850</v>
      </c>
      <c r="V27" s="19">
        <f t="shared" ref="V27:V48" si="20">(R27*T27)+(S27*T27*1.5)</f>
        <v>4462.5</v>
      </c>
      <c r="W27" s="19">
        <f t="shared" si="17"/>
        <v>223.125</v>
      </c>
      <c r="X27" s="19">
        <f t="shared" si="6"/>
        <v>4239.375</v>
      </c>
      <c r="Y27" s="8">
        <v>8</v>
      </c>
      <c r="Z27" s="8">
        <v>4</v>
      </c>
      <c r="AA27" s="21">
        <v>8</v>
      </c>
      <c r="AB27" s="8">
        <v>7</v>
      </c>
      <c r="AC27" s="21">
        <v>8</v>
      </c>
      <c r="AD27" s="8">
        <v>0</v>
      </c>
      <c r="AE27" s="8">
        <v>8</v>
      </c>
      <c r="AF27" s="8">
        <v>0</v>
      </c>
      <c r="AG27" s="21"/>
      <c r="AH27" s="21"/>
      <c r="AI27" s="21"/>
      <c r="AJ27" s="21"/>
      <c r="AK27" s="21"/>
      <c r="AL27" s="21"/>
      <c r="AM27" s="44">
        <f>IFERROR(INDEX(Settings!$F:$F, MATCH('PROJECT NAME DEC'!$B27 &amp; "-" &amp; 'PROJECT NAME DEC'!$C27, Settings!$H:$H,0)), "")</f>
        <v>106.25</v>
      </c>
      <c r="AN27" s="44">
        <f>IFERROR(INDEX(Settings!$G:$G, MATCH('PROJECT NAME DEC'!$B27 &amp; "-" &amp; 'PROJECT NAME DEC'!$C27, Settings!$H:$H, 0)), "")</f>
        <v>850</v>
      </c>
      <c r="AO27" s="21">
        <f t="shared" si="7"/>
        <v>32</v>
      </c>
      <c r="AP27" s="21">
        <f t="shared" si="7"/>
        <v>11</v>
      </c>
      <c r="AQ27" s="44">
        <f t="shared" si="8"/>
        <v>4568.75</v>
      </c>
      <c r="AR27" s="44">
        <f t="shared" si="9"/>
        <v>228.4375</v>
      </c>
      <c r="AS27" s="44">
        <f t="shared" si="10"/>
        <v>4340.3125</v>
      </c>
      <c r="AT27" s="59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8"/>
      <c r="BG27" s="28"/>
      <c r="BH27" s="8"/>
      <c r="BI27" s="8">
        <f t="shared" si="11"/>
        <v>0</v>
      </c>
      <c r="BJ27" s="8">
        <f t="shared" si="11"/>
        <v>0</v>
      </c>
      <c r="BK27" s="19">
        <f>IFERROR(INDEX(Settings!$F:$F, MATCH('PROJECT NAME DEC'!$B27 &amp; "-" &amp; 'PROJECT NAME DEC'!$C27, Settings!$H:$H,0)), "")</f>
        <v>106.25</v>
      </c>
      <c r="BL27" s="19">
        <f>IFERROR(INDEX(Settings!$G:$G, MATCH('PROJECT NAME DEC'!$B27 &amp; "-" &amp; 'PROJECT NAME DEC'!$C27, Settings!$H:$H, 0)), "")</f>
        <v>850</v>
      </c>
      <c r="BM27" s="19">
        <f t="shared" ref="BM27:BM48" si="21">(BI27*BK27)+(BJ27*BK27*1.5)</f>
        <v>0</v>
      </c>
      <c r="BN27" s="19">
        <f t="shared" si="18"/>
        <v>0</v>
      </c>
      <c r="BO27" s="19">
        <f t="shared" si="12"/>
        <v>0</v>
      </c>
      <c r="BP27" s="54"/>
      <c r="BQ27" s="21"/>
      <c r="BR27" s="21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8">
        <f t="shared" si="13"/>
        <v>0</v>
      </c>
      <c r="CF27" s="8">
        <f t="shared" si="13"/>
        <v>0</v>
      </c>
      <c r="CG27" s="19">
        <f>IFERROR(INDEX(Settings!$F:$F, MATCH('PROJECT NAME DEC'!$B27 &amp; "-" &amp; 'PROJECT NAME DEC'!$C27, Settings!$H:$H,0)), "")</f>
        <v>106.25</v>
      </c>
      <c r="CH27" s="19">
        <f>IFERROR(INDEX(Settings!$G:$G, MATCH('PROJECT NAME DEC'!$B27 &amp; "-" &amp; 'PROJECT NAME DEC'!$C27, Settings!$H:$H, 0)), "")</f>
        <v>850</v>
      </c>
      <c r="CI27" s="19">
        <f t="shared" ref="CI27:CI48" si="22">(CE27*CG27)+(CF27*CG27*1.5)</f>
        <v>0</v>
      </c>
      <c r="CJ27" s="19">
        <f t="shared" si="19"/>
        <v>0</v>
      </c>
      <c r="CK27" s="19">
        <f t="shared" si="14"/>
        <v>0</v>
      </c>
      <c r="CM27" s="3"/>
      <c r="CN27" s="3"/>
      <c r="CO27" s="3"/>
      <c r="CP27" s="3"/>
      <c r="CQ27" s="3"/>
      <c r="CR27" s="3"/>
      <c r="CS27" s="8">
        <f t="shared" si="3"/>
        <v>0</v>
      </c>
      <c r="CT27" s="8">
        <f t="shared" si="3"/>
        <v>0</v>
      </c>
      <c r="CU27" s="19">
        <f>IFERROR(INDEX(Settings!$F:$F, MATCH('PROJECT NAME DEC'!$B27 &amp; "-" &amp; 'PROJECT NAME DEC'!$C27, Settings!$H:$H,0)), "")</f>
        <v>106.25</v>
      </c>
      <c r="CV27" s="19">
        <f>IFERROR(INDEX(Settings!$G:$G, MATCH('PROJECT NAME DEC'!$B27 &amp; "-" &amp; 'PROJECT NAME DEC'!$C27, Settings!$H:$H, 0)), "")</f>
        <v>850</v>
      </c>
      <c r="CW27" s="19">
        <v>0</v>
      </c>
      <c r="CX27" s="19">
        <f t="shared" si="15"/>
        <v>0</v>
      </c>
      <c r="CY27" s="19">
        <f t="shared" si="4"/>
        <v>0</v>
      </c>
      <c r="DA27" s="162"/>
      <c r="DB27" s="158"/>
      <c r="DC27" s="158"/>
      <c r="DD27" s="158"/>
      <c r="DE27" s="159"/>
      <c r="DF27" s="159"/>
      <c r="DG27" s="158"/>
      <c r="DH27" s="152" t="str">
        <f t="shared" si="16"/>
        <v>-</v>
      </c>
    </row>
    <row r="28" spans="2:120" x14ac:dyDescent="0.3">
      <c r="B28" s="3" t="s">
        <v>65</v>
      </c>
      <c r="C28" s="1" t="s">
        <v>29</v>
      </c>
      <c r="D28" s="1" t="s">
        <v>227</v>
      </c>
      <c r="E28" s="4" t="s">
        <v>79</v>
      </c>
      <c r="F28" s="21"/>
      <c r="G28" s="21"/>
      <c r="H28" s="21"/>
      <c r="I28" s="21"/>
      <c r="J28" s="21"/>
      <c r="K28" s="21"/>
      <c r="L28" s="124">
        <v>8</v>
      </c>
      <c r="M28" s="21">
        <v>4</v>
      </c>
      <c r="N28" s="21">
        <v>8</v>
      </c>
      <c r="O28" s="21">
        <v>4</v>
      </c>
      <c r="P28" s="21">
        <v>8</v>
      </c>
      <c r="Q28" s="124">
        <v>4</v>
      </c>
      <c r="R28" s="8">
        <f t="shared" si="5"/>
        <v>24</v>
      </c>
      <c r="S28" s="8">
        <f t="shared" si="5"/>
        <v>12</v>
      </c>
      <c r="T28" s="19">
        <f>IFERROR(INDEX(Settings!$F:$F, MATCH('PROJECT NAME DEC'!$B28 &amp; "-" &amp; 'PROJECT NAME DEC'!$C28, Settings!$H:$H,0)), "")</f>
        <v>106.25</v>
      </c>
      <c r="U28" s="19">
        <f>IFERROR(INDEX(Settings!$G:$G, MATCH('PROJECT NAME DEC'!$B28 &amp; "-" &amp; 'PROJECT NAME DEC'!$C28, Settings!$H:$H, 0)), "")</f>
        <v>850</v>
      </c>
      <c r="V28" s="19">
        <f t="shared" si="20"/>
        <v>4462.5</v>
      </c>
      <c r="W28" s="19">
        <f t="shared" si="17"/>
        <v>223.125</v>
      </c>
      <c r="X28" s="19">
        <f t="shared" si="6"/>
        <v>4239.375</v>
      </c>
      <c r="Y28" s="8">
        <v>8</v>
      </c>
      <c r="Z28" s="8">
        <v>4</v>
      </c>
      <c r="AA28" s="21">
        <v>8</v>
      </c>
      <c r="AB28" s="8">
        <v>7</v>
      </c>
      <c r="AC28" s="21">
        <v>8</v>
      </c>
      <c r="AD28" s="8">
        <v>0</v>
      </c>
      <c r="AE28" s="8">
        <v>8</v>
      </c>
      <c r="AF28" s="8">
        <v>0</v>
      </c>
      <c r="AG28" s="21"/>
      <c r="AH28" s="21"/>
      <c r="AI28" s="21"/>
      <c r="AJ28" s="21"/>
      <c r="AK28" s="21"/>
      <c r="AL28" s="21"/>
      <c r="AM28" s="44">
        <f>IFERROR(INDEX(Settings!$F:$F, MATCH('PROJECT NAME DEC'!$B28 &amp; "-" &amp; 'PROJECT NAME DEC'!$C28, Settings!$H:$H,0)), "")</f>
        <v>106.25</v>
      </c>
      <c r="AN28" s="44">
        <f>IFERROR(INDEX(Settings!$G:$G, MATCH('PROJECT NAME DEC'!$B28 &amp; "-" &amp; 'PROJECT NAME DEC'!$C28, Settings!$H:$H, 0)), "")</f>
        <v>850</v>
      </c>
      <c r="AO28" s="21">
        <f t="shared" si="7"/>
        <v>32</v>
      </c>
      <c r="AP28" s="21">
        <f t="shared" si="7"/>
        <v>11</v>
      </c>
      <c r="AQ28" s="44">
        <f t="shared" si="8"/>
        <v>4568.75</v>
      </c>
      <c r="AR28" s="44">
        <f t="shared" si="9"/>
        <v>228.4375</v>
      </c>
      <c r="AS28" s="44">
        <f t="shared" si="10"/>
        <v>4340.3125</v>
      </c>
      <c r="AT28" s="59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8"/>
      <c r="BG28" s="27"/>
      <c r="BH28" s="8"/>
      <c r="BI28" s="8">
        <f t="shared" si="11"/>
        <v>0</v>
      </c>
      <c r="BJ28" s="8">
        <f t="shared" si="11"/>
        <v>0</v>
      </c>
      <c r="BK28" s="19">
        <f>IFERROR(INDEX(Settings!$F:$F, MATCH('PROJECT NAME DEC'!$B28 &amp; "-" &amp; 'PROJECT NAME DEC'!$C28, Settings!$H:$H,0)), "")</f>
        <v>106.25</v>
      </c>
      <c r="BL28" s="19">
        <f>IFERROR(INDEX(Settings!$G:$G, MATCH('PROJECT NAME DEC'!$B28 &amp; "-" &amp; 'PROJECT NAME DEC'!$C28, Settings!$H:$H, 0)), "")</f>
        <v>850</v>
      </c>
      <c r="BM28" s="19">
        <f t="shared" si="21"/>
        <v>0</v>
      </c>
      <c r="BN28" s="19">
        <f t="shared" si="18"/>
        <v>0</v>
      </c>
      <c r="BO28" s="19">
        <f t="shared" si="12"/>
        <v>0</v>
      </c>
      <c r="BP28" s="54"/>
      <c r="BQ28" s="21"/>
      <c r="BR28" s="21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8">
        <f t="shared" si="13"/>
        <v>0</v>
      </c>
      <c r="CF28" s="8">
        <f t="shared" si="13"/>
        <v>0</v>
      </c>
      <c r="CG28" s="19">
        <f>IFERROR(INDEX(Settings!$F:$F, MATCH('PROJECT NAME DEC'!$B28 &amp; "-" &amp; 'PROJECT NAME DEC'!$C28, Settings!$H:$H,0)), "")</f>
        <v>106.25</v>
      </c>
      <c r="CH28" s="19">
        <f>IFERROR(INDEX(Settings!$G:$G, MATCH('PROJECT NAME DEC'!$B28 &amp; "-" &amp; 'PROJECT NAME DEC'!$C28, Settings!$H:$H, 0)), "")</f>
        <v>850</v>
      </c>
      <c r="CI28" s="19">
        <f t="shared" si="22"/>
        <v>0</v>
      </c>
      <c r="CJ28" s="19">
        <f t="shared" si="19"/>
        <v>0</v>
      </c>
      <c r="CK28" s="19">
        <f t="shared" si="14"/>
        <v>0</v>
      </c>
      <c r="CM28" s="3"/>
      <c r="CN28" s="3"/>
      <c r="CO28" s="3"/>
      <c r="CP28" s="3"/>
      <c r="CQ28" s="3"/>
      <c r="CR28" s="3"/>
      <c r="CS28" s="8">
        <f t="shared" si="3"/>
        <v>0</v>
      </c>
      <c r="CT28" s="8">
        <f t="shared" si="3"/>
        <v>0</v>
      </c>
      <c r="CU28" s="19">
        <f>IFERROR(INDEX(Settings!$F:$F, MATCH('PROJECT NAME DEC'!$B28 &amp; "-" &amp; 'PROJECT NAME DEC'!$C28, Settings!$H:$H,0)), "")</f>
        <v>106.25</v>
      </c>
      <c r="CV28" s="19">
        <f>IFERROR(INDEX(Settings!$G:$G, MATCH('PROJECT NAME DEC'!$B28 &amp; "-" &amp; 'PROJECT NAME DEC'!$C28, Settings!$H:$H, 0)), "")</f>
        <v>850</v>
      </c>
      <c r="CW28" s="19">
        <v>0</v>
      </c>
      <c r="CX28" s="19">
        <f t="shared" si="15"/>
        <v>0</v>
      </c>
      <c r="CY28" s="19">
        <f t="shared" si="4"/>
        <v>0</v>
      </c>
      <c r="DA28" s="162"/>
      <c r="DB28" s="158"/>
      <c r="DC28" s="158"/>
      <c r="DD28" s="158"/>
      <c r="DE28" s="159"/>
      <c r="DF28" s="159"/>
      <c r="DG28" s="158"/>
      <c r="DH28" s="153" t="str">
        <f t="shared" si="16"/>
        <v>-</v>
      </c>
    </row>
    <row r="29" spans="2:120" x14ac:dyDescent="0.3">
      <c r="B29" s="3" t="s">
        <v>65</v>
      </c>
      <c r="C29" s="1" t="s">
        <v>29</v>
      </c>
      <c r="D29" s="1" t="s">
        <v>228</v>
      </c>
      <c r="E29" s="4" t="s">
        <v>80</v>
      </c>
      <c r="F29" s="21"/>
      <c r="G29" s="21"/>
      <c r="H29" s="21"/>
      <c r="I29" s="21"/>
      <c r="J29" s="21"/>
      <c r="K29" s="21"/>
      <c r="L29" s="124">
        <v>8</v>
      </c>
      <c r="M29" s="21">
        <v>4</v>
      </c>
      <c r="N29" s="21">
        <v>8</v>
      </c>
      <c r="O29" s="21">
        <v>4</v>
      </c>
      <c r="P29" s="21">
        <v>8</v>
      </c>
      <c r="Q29" s="124">
        <v>4</v>
      </c>
      <c r="R29" s="8">
        <f t="shared" ref="R29" si="23">SUM(F29,H29,J29,L29,N29,P29)</f>
        <v>24</v>
      </c>
      <c r="S29" s="8">
        <f t="shared" ref="S29" si="24">SUM(G29,I29,K29,M29,O29,Q29)</f>
        <v>12</v>
      </c>
      <c r="T29" s="19">
        <f>IFERROR(INDEX(Settings!$F:$F, MATCH('PROJECT NAME DEC'!$B29 &amp; "-" &amp; 'PROJECT NAME DEC'!$C29, Settings!$H:$H,0)), "")</f>
        <v>106.25</v>
      </c>
      <c r="U29" s="19">
        <f>IFERROR(INDEX(Settings!$G:$G, MATCH('PROJECT NAME DEC'!$B29 &amp; "-" &amp; 'PROJECT NAME DEC'!$C29, Settings!$H:$H, 0)), "")</f>
        <v>850</v>
      </c>
      <c r="V29" s="19">
        <f t="shared" ref="V29" si="25">(R29*T29)+(S29*T29*1.5)</f>
        <v>4462.5</v>
      </c>
      <c r="W29" s="19">
        <f t="shared" ref="W29" si="26">V29*5%</f>
        <v>223.125</v>
      </c>
      <c r="X29" s="19">
        <f t="shared" ref="X29" si="27">V29-W29</f>
        <v>4239.375</v>
      </c>
      <c r="Y29" s="8">
        <v>8</v>
      </c>
      <c r="Z29" s="8">
        <v>4</v>
      </c>
      <c r="AA29" s="21">
        <v>8</v>
      </c>
      <c r="AB29" s="8">
        <v>7</v>
      </c>
      <c r="AC29" s="21">
        <v>8</v>
      </c>
      <c r="AD29" s="8">
        <v>0</v>
      </c>
      <c r="AE29" s="8">
        <v>8</v>
      </c>
      <c r="AF29" s="8">
        <v>0</v>
      </c>
      <c r="AG29" s="21"/>
      <c r="AH29" s="21"/>
      <c r="AI29" s="21"/>
      <c r="AJ29" s="21"/>
      <c r="AK29" s="21"/>
      <c r="AL29" s="21"/>
      <c r="AM29" s="44">
        <f>IFERROR(INDEX(Settings!$F:$F, MATCH('PROJECT NAME DEC'!$B29 &amp; "-" &amp; 'PROJECT NAME DEC'!$C29, Settings!$H:$H,0)), "")</f>
        <v>106.25</v>
      </c>
      <c r="AN29" s="44">
        <f>IFERROR(INDEX(Settings!$G:$G, MATCH('PROJECT NAME DEC'!$B29 &amp; "-" &amp; 'PROJECT NAME DEC'!$C29, Settings!$H:$H, 0)), "")</f>
        <v>850</v>
      </c>
      <c r="AO29" s="21">
        <f t="shared" si="7"/>
        <v>32</v>
      </c>
      <c r="AP29" s="21">
        <f t="shared" si="7"/>
        <v>11</v>
      </c>
      <c r="AQ29" s="44">
        <f t="shared" si="8"/>
        <v>4568.75</v>
      </c>
      <c r="AR29" s="44">
        <f t="shared" si="9"/>
        <v>228.4375</v>
      </c>
      <c r="AS29" s="44">
        <f t="shared" si="10"/>
        <v>4340.3125</v>
      </c>
      <c r="AT29" s="59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8"/>
      <c r="BG29" s="27"/>
      <c r="BH29" s="8"/>
      <c r="BI29" s="8">
        <f t="shared" si="11"/>
        <v>0</v>
      </c>
      <c r="BJ29" s="8">
        <f t="shared" si="11"/>
        <v>0</v>
      </c>
      <c r="BK29" s="19">
        <f>IFERROR(INDEX(Settings!$F:$F, MATCH('PROJECT NAME DEC'!$B29 &amp; "-" &amp; 'PROJECT NAME DEC'!$C29, Settings!$H:$H,0)), "")</f>
        <v>106.25</v>
      </c>
      <c r="BL29" s="19">
        <f>IFERROR(INDEX(Settings!$G:$G, MATCH('PROJECT NAME DEC'!$B29 &amp; "-" &amp; 'PROJECT NAME DEC'!$C29, Settings!$H:$H, 0)), "")</f>
        <v>850</v>
      </c>
      <c r="BM29" s="19">
        <f t="shared" si="21"/>
        <v>0</v>
      </c>
      <c r="BN29" s="19">
        <f t="shared" si="18"/>
        <v>0</v>
      </c>
      <c r="BO29" s="19">
        <f t="shared" si="12"/>
        <v>0</v>
      </c>
      <c r="BP29" s="54"/>
      <c r="BQ29" s="21"/>
      <c r="BR29" s="21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8">
        <f t="shared" si="13"/>
        <v>0</v>
      </c>
      <c r="CF29" s="8">
        <f t="shared" si="13"/>
        <v>0</v>
      </c>
      <c r="CG29" s="19">
        <f>IFERROR(INDEX(Settings!$F:$F, MATCH('PROJECT NAME DEC'!$B29 &amp; "-" &amp; 'PROJECT NAME DEC'!$C29, Settings!$H:$H,0)), "")</f>
        <v>106.25</v>
      </c>
      <c r="CH29" s="19">
        <f>IFERROR(INDEX(Settings!$G:$G, MATCH('PROJECT NAME DEC'!$B29 &amp; "-" &amp; 'PROJECT NAME DEC'!$C29, Settings!$H:$H, 0)), "")</f>
        <v>850</v>
      </c>
      <c r="CI29" s="19">
        <f t="shared" si="22"/>
        <v>0</v>
      </c>
      <c r="CJ29" s="19">
        <f t="shared" si="19"/>
        <v>0</v>
      </c>
      <c r="CK29" s="19">
        <f t="shared" si="14"/>
        <v>0</v>
      </c>
      <c r="CM29" s="3"/>
      <c r="CN29" s="3"/>
      <c r="CO29" s="3"/>
      <c r="CP29" s="3"/>
      <c r="CQ29" s="3"/>
      <c r="CR29" s="3"/>
      <c r="CS29" s="8">
        <f t="shared" si="3"/>
        <v>0</v>
      </c>
      <c r="CT29" s="8">
        <f t="shared" si="3"/>
        <v>0</v>
      </c>
      <c r="CU29" s="19">
        <f>IFERROR(INDEX(Settings!$F:$F, MATCH('PROJECT NAME DEC'!$B29 &amp; "-" &amp; 'PROJECT NAME DEC'!$C29, Settings!$H:$H,0)), "")</f>
        <v>106.25</v>
      </c>
      <c r="CV29" s="19">
        <f>IFERROR(INDEX(Settings!$G:$G, MATCH('PROJECT NAME DEC'!$B29 &amp; "-" &amp; 'PROJECT NAME DEC'!$C29, Settings!$H:$H, 0)), "")</f>
        <v>850</v>
      </c>
      <c r="CW29" s="19">
        <v>0</v>
      </c>
      <c r="CX29" s="19">
        <f t="shared" si="15"/>
        <v>0</v>
      </c>
      <c r="CY29" s="19">
        <f t="shared" si="4"/>
        <v>0</v>
      </c>
      <c r="DA29" s="162"/>
      <c r="DB29" s="158"/>
      <c r="DC29" s="158"/>
      <c r="DD29" s="158"/>
      <c r="DE29" s="159"/>
      <c r="DF29" s="159"/>
      <c r="DG29" s="158"/>
      <c r="DH29" s="153"/>
    </row>
    <row r="30" spans="2:120" x14ac:dyDescent="0.3">
      <c r="B30" s="3" t="s">
        <v>65</v>
      </c>
      <c r="C30" s="1" t="s">
        <v>29</v>
      </c>
      <c r="D30" s="1" t="s">
        <v>229</v>
      </c>
      <c r="E30" s="4" t="s">
        <v>81</v>
      </c>
      <c r="F30" s="21"/>
      <c r="G30" s="21"/>
      <c r="H30" s="21"/>
      <c r="I30" s="21"/>
      <c r="J30" s="21"/>
      <c r="K30" s="21"/>
      <c r="L30" s="124">
        <v>8</v>
      </c>
      <c r="M30" s="21">
        <v>4</v>
      </c>
      <c r="N30" s="21">
        <v>8</v>
      </c>
      <c r="O30" s="21">
        <v>4</v>
      </c>
      <c r="P30" s="21">
        <v>8</v>
      </c>
      <c r="Q30" s="124">
        <v>4</v>
      </c>
      <c r="R30" s="8">
        <f t="shared" si="5"/>
        <v>24</v>
      </c>
      <c r="S30" s="8">
        <f t="shared" si="5"/>
        <v>12</v>
      </c>
      <c r="T30" s="19">
        <f>IFERROR(INDEX(Settings!$F:$F, MATCH('PROJECT NAME DEC'!$B30 &amp; "-" &amp; 'PROJECT NAME DEC'!$C30, Settings!$H:$H,0)), "")</f>
        <v>106.25</v>
      </c>
      <c r="U30" s="19">
        <f>IFERROR(INDEX(Settings!$G:$G, MATCH('PROJECT NAME DEC'!$B30 &amp; "-" &amp; 'PROJECT NAME DEC'!$C30, Settings!$H:$H, 0)), "")</f>
        <v>850</v>
      </c>
      <c r="V30" s="19">
        <f t="shared" si="20"/>
        <v>4462.5</v>
      </c>
      <c r="W30" s="19">
        <f t="shared" si="17"/>
        <v>223.125</v>
      </c>
      <c r="X30" s="19">
        <f t="shared" si="6"/>
        <v>4239.375</v>
      </c>
      <c r="Y30" s="8">
        <v>8</v>
      </c>
      <c r="Z30" s="8">
        <v>4</v>
      </c>
      <c r="AA30" s="21">
        <v>8</v>
      </c>
      <c r="AB30" s="8">
        <v>7</v>
      </c>
      <c r="AC30" s="21">
        <v>8</v>
      </c>
      <c r="AD30" s="8">
        <v>0</v>
      </c>
      <c r="AE30" s="8">
        <v>8</v>
      </c>
      <c r="AF30" s="8">
        <v>0</v>
      </c>
      <c r="AG30" s="21"/>
      <c r="AH30" s="21"/>
      <c r="AI30" s="21"/>
      <c r="AJ30" s="21"/>
      <c r="AK30" s="21"/>
      <c r="AL30" s="21"/>
      <c r="AM30" s="44">
        <f>IFERROR(INDEX(Settings!$F:$F, MATCH('PROJECT NAME DEC'!$B30 &amp; "-" &amp; 'PROJECT NAME DEC'!$C30, Settings!$H:$H,0)), "")</f>
        <v>106.25</v>
      </c>
      <c r="AN30" s="44">
        <f>IFERROR(INDEX(Settings!$G:$G, MATCH('PROJECT NAME DEC'!$B30 &amp; "-" &amp; 'PROJECT NAME DEC'!$C30, Settings!$H:$H, 0)), "")</f>
        <v>850</v>
      </c>
      <c r="AO30" s="21">
        <f t="shared" si="7"/>
        <v>32</v>
      </c>
      <c r="AP30" s="21">
        <f t="shared" si="7"/>
        <v>11</v>
      </c>
      <c r="AQ30" s="44">
        <f t="shared" si="8"/>
        <v>4568.75</v>
      </c>
      <c r="AR30" s="44">
        <f t="shared" si="9"/>
        <v>228.4375</v>
      </c>
      <c r="AS30" s="44">
        <f t="shared" si="10"/>
        <v>4340.3125</v>
      </c>
      <c r="AT30" s="59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7"/>
      <c r="BG30" s="27"/>
      <c r="BH30" s="21"/>
      <c r="BI30" s="8">
        <f t="shared" si="11"/>
        <v>0</v>
      </c>
      <c r="BJ30" s="8">
        <f t="shared" si="11"/>
        <v>0</v>
      </c>
      <c r="BK30" s="19">
        <f>IFERROR(INDEX(Settings!$F:$F, MATCH('PROJECT NAME DEC'!$B30 &amp; "-" &amp; 'PROJECT NAME DEC'!$C30, Settings!$H:$H,0)), "")</f>
        <v>106.25</v>
      </c>
      <c r="BL30" s="19">
        <f>IFERROR(INDEX(Settings!$G:$G, MATCH('PROJECT NAME DEC'!$B30 &amp; "-" &amp; 'PROJECT NAME DEC'!$C30, Settings!$H:$H, 0)), "")</f>
        <v>850</v>
      </c>
      <c r="BM30" s="19">
        <f t="shared" si="21"/>
        <v>0</v>
      </c>
      <c r="BN30" s="19">
        <f t="shared" si="18"/>
        <v>0</v>
      </c>
      <c r="BO30" s="19">
        <f t="shared" si="12"/>
        <v>0</v>
      </c>
      <c r="BP30" s="54"/>
      <c r="BQ30" s="21"/>
      <c r="BR30" s="21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8">
        <f t="shared" si="13"/>
        <v>0</v>
      </c>
      <c r="CF30" s="8">
        <f t="shared" si="13"/>
        <v>0</v>
      </c>
      <c r="CG30" s="19">
        <f>IFERROR(INDEX(Settings!$F:$F, MATCH('PROJECT NAME DEC'!$B30 &amp; "-" &amp; 'PROJECT NAME DEC'!$C30, Settings!$H:$H,0)), "")</f>
        <v>106.25</v>
      </c>
      <c r="CH30" s="19">
        <f>IFERROR(INDEX(Settings!$G:$G, MATCH('PROJECT NAME DEC'!$B30 &amp; "-" &amp; 'PROJECT NAME DEC'!$C30, Settings!$H:$H, 0)), "")</f>
        <v>850</v>
      </c>
      <c r="CI30" s="19">
        <f t="shared" si="22"/>
        <v>0</v>
      </c>
      <c r="CJ30" s="19">
        <f t="shared" si="19"/>
        <v>0</v>
      </c>
      <c r="CK30" s="19">
        <f t="shared" si="14"/>
        <v>0</v>
      </c>
      <c r="CM30" s="3"/>
      <c r="CN30" s="3"/>
      <c r="CO30" s="3"/>
      <c r="CP30" s="3"/>
      <c r="CQ30" s="3"/>
      <c r="CR30" s="3"/>
      <c r="CS30" s="8">
        <f t="shared" si="3"/>
        <v>0</v>
      </c>
      <c r="CT30" s="8">
        <f t="shared" si="3"/>
        <v>0</v>
      </c>
      <c r="CU30" s="19">
        <f>IFERROR(INDEX(Settings!$F:$F, MATCH('PROJECT NAME DEC'!$B30 &amp; "-" &amp; 'PROJECT NAME DEC'!$C30, Settings!$H:$H,0)), "")</f>
        <v>106.25</v>
      </c>
      <c r="CV30" s="19">
        <f>IFERROR(INDEX(Settings!$G:$G, MATCH('PROJECT NAME DEC'!$B30 &amp; "-" &amp; 'PROJECT NAME DEC'!$C30, Settings!$H:$H, 0)), "")</f>
        <v>850</v>
      </c>
      <c r="CW30" s="19">
        <v>0</v>
      </c>
      <c r="CX30" s="19">
        <f t="shared" si="15"/>
        <v>0</v>
      </c>
      <c r="CY30" s="19">
        <f t="shared" si="4"/>
        <v>0</v>
      </c>
      <c r="DA30" s="162"/>
      <c r="DB30" s="158"/>
      <c r="DC30" s="158"/>
      <c r="DD30" s="158"/>
      <c r="DE30" s="159"/>
      <c r="DF30" s="159"/>
      <c r="DG30" s="158"/>
      <c r="DH30" s="152" t="str">
        <f t="shared" si="16"/>
        <v>-</v>
      </c>
    </row>
    <row r="31" spans="2:120" x14ac:dyDescent="0.3">
      <c r="B31" s="3" t="s">
        <v>65</v>
      </c>
      <c r="C31" s="1" t="s">
        <v>29</v>
      </c>
      <c r="D31" s="1" t="s">
        <v>230</v>
      </c>
      <c r="E31" s="4" t="s">
        <v>82</v>
      </c>
      <c r="F31" s="21"/>
      <c r="G31" s="21"/>
      <c r="H31" s="21"/>
      <c r="I31" s="21"/>
      <c r="J31" s="21"/>
      <c r="K31" s="21"/>
      <c r="L31" s="124">
        <v>8</v>
      </c>
      <c r="M31" s="21">
        <v>4</v>
      </c>
      <c r="N31" s="21">
        <v>8</v>
      </c>
      <c r="O31" s="21">
        <v>4</v>
      </c>
      <c r="P31" s="21">
        <v>8</v>
      </c>
      <c r="Q31" s="124">
        <v>4</v>
      </c>
      <c r="R31" s="8">
        <f t="shared" si="5"/>
        <v>24</v>
      </c>
      <c r="S31" s="8">
        <f t="shared" si="5"/>
        <v>12</v>
      </c>
      <c r="T31" s="19">
        <f>IFERROR(INDEX(Settings!$F:$F, MATCH('PROJECT NAME DEC'!$B31 &amp; "-" &amp; 'PROJECT NAME DEC'!$C31, Settings!$H:$H,0)), "")</f>
        <v>106.25</v>
      </c>
      <c r="U31" s="19">
        <f>IFERROR(INDEX(Settings!$G:$G, MATCH('PROJECT NAME DEC'!$B31 &amp; "-" &amp; 'PROJECT NAME DEC'!$C31, Settings!$H:$H, 0)), "")</f>
        <v>850</v>
      </c>
      <c r="V31" s="19">
        <f t="shared" si="20"/>
        <v>4462.5</v>
      </c>
      <c r="W31" s="19">
        <f t="shared" si="17"/>
        <v>223.125</v>
      </c>
      <c r="X31" s="19">
        <f t="shared" si="6"/>
        <v>4239.375</v>
      </c>
      <c r="Y31" s="8">
        <v>8</v>
      </c>
      <c r="Z31" s="8">
        <v>4</v>
      </c>
      <c r="AA31" s="21">
        <v>8</v>
      </c>
      <c r="AB31" s="8">
        <v>7</v>
      </c>
      <c r="AC31" s="21">
        <v>8</v>
      </c>
      <c r="AD31" s="8">
        <v>0</v>
      </c>
      <c r="AE31" s="8">
        <v>8</v>
      </c>
      <c r="AF31" s="8">
        <v>0</v>
      </c>
      <c r="AG31" s="21"/>
      <c r="AH31" s="21"/>
      <c r="AI31" s="21"/>
      <c r="AJ31" s="21"/>
      <c r="AK31" s="21"/>
      <c r="AL31" s="21"/>
      <c r="AM31" s="44">
        <f>IFERROR(INDEX(Settings!$F:$F, MATCH('PROJECT NAME DEC'!$B31 &amp; "-" &amp; 'PROJECT NAME DEC'!$C31, Settings!$H:$H,0)), "")</f>
        <v>106.25</v>
      </c>
      <c r="AN31" s="44">
        <f>IFERROR(INDEX(Settings!$G:$G, MATCH('PROJECT NAME DEC'!$B31 &amp; "-" &amp; 'PROJECT NAME DEC'!$C31, Settings!$H:$H, 0)), "")</f>
        <v>850</v>
      </c>
      <c r="AO31" s="21">
        <f t="shared" si="7"/>
        <v>32</v>
      </c>
      <c r="AP31" s="21">
        <f t="shared" si="7"/>
        <v>11</v>
      </c>
      <c r="AQ31" s="44">
        <f t="shared" si="8"/>
        <v>4568.75</v>
      </c>
      <c r="AR31" s="44">
        <f t="shared" si="9"/>
        <v>228.4375</v>
      </c>
      <c r="AS31" s="44">
        <f t="shared" si="10"/>
        <v>4340.3125</v>
      </c>
      <c r="AT31" s="59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7"/>
      <c r="BG31" s="27"/>
      <c r="BH31" s="21"/>
      <c r="BI31" s="8">
        <f t="shared" si="11"/>
        <v>0</v>
      </c>
      <c r="BJ31" s="8">
        <f t="shared" si="11"/>
        <v>0</v>
      </c>
      <c r="BK31" s="19">
        <f>IFERROR(INDEX(Settings!$F:$F, MATCH('PROJECT NAME DEC'!$B31 &amp; "-" &amp; 'PROJECT NAME DEC'!$C31, Settings!$H:$H,0)), "")</f>
        <v>106.25</v>
      </c>
      <c r="BL31" s="19">
        <f>IFERROR(INDEX(Settings!$G:$G, MATCH('PROJECT NAME DEC'!$B31 &amp; "-" &amp; 'PROJECT NAME DEC'!$C31, Settings!$H:$H, 0)), "")</f>
        <v>850</v>
      </c>
      <c r="BM31" s="19">
        <f t="shared" si="21"/>
        <v>0</v>
      </c>
      <c r="BN31" s="19">
        <f t="shared" si="18"/>
        <v>0</v>
      </c>
      <c r="BO31" s="19">
        <f t="shared" si="12"/>
        <v>0</v>
      </c>
      <c r="BP31" s="54"/>
      <c r="BQ31" s="21"/>
      <c r="BR31" s="21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8">
        <f t="shared" si="13"/>
        <v>0</v>
      </c>
      <c r="CF31" s="8">
        <f t="shared" si="13"/>
        <v>0</v>
      </c>
      <c r="CG31" s="19">
        <f>IFERROR(INDEX(Settings!$F:$F, MATCH('PROJECT NAME DEC'!$B31 &amp; "-" &amp; 'PROJECT NAME DEC'!$C31, Settings!$H:$H,0)), "")</f>
        <v>106.25</v>
      </c>
      <c r="CH31" s="19">
        <f>IFERROR(INDEX(Settings!$G:$G, MATCH('PROJECT NAME DEC'!$B31 &amp; "-" &amp; 'PROJECT NAME DEC'!$C31, Settings!$H:$H, 0)), "")</f>
        <v>850</v>
      </c>
      <c r="CI31" s="19">
        <f t="shared" si="22"/>
        <v>0</v>
      </c>
      <c r="CJ31" s="19">
        <f t="shared" si="19"/>
        <v>0</v>
      </c>
      <c r="CK31" s="19">
        <f t="shared" si="14"/>
        <v>0</v>
      </c>
      <c r="CM31" s="3"/>
      <c r="CN31" s="3"/>
      <c r="CO31" s="3"/>
      <c r="CP31" s="3"/>
      <c r="CQ31" s="3"/>
      <c r="CR31" s="3"/>
      <c r="CS31" s="8">
        <f t="shared" si="3"/>
        <v>0</v>
      </c>
      <c r="CT31" s="8">
        <f t="shared" si="3"/>
        <v>0</v>
      </c>
      <c r="CU31" s="19">
        <f>IFERROR(INDEX(Settings!$F:$F, MATCH('PROJECT NAME DEC'!$B31 &amp; "-" &amp; 'PROJECT NAME DEC'!$C31, Settings!$H:$H,0)), "")</f>
        <v>106.25</v>
      </c>
      <c r="CV31" s="19">
        <f>IFERROR(INDEX(Settings!$G:$G, MATCH('PROJECT NAME DEC'!$B31 &amp; "-" &amp; 'PROJECT NAME DEC'!$C31, Settings!$H:$H, 0)), "")</f>
        <v>850</v>
      </c>
      <c r="CW31" s="19">
        <v>0</v>
      </c>
      <c r="CX31" s="19">
        <f t="shared" si="15"/>
        <v>0</v>
      </c>
      <c r="CY31" s="19">
        <f t="shared" si="4"/>
        <v>0</v>
      </c>
      <c r="DA31" s="162"/>
      <c r="DB31" s="158"/>
      <c r="DC31" s="158"/>
      <c r="DD31" s="158"/>
      <c r="DE31" s="159"/>
      <c r="DF31" s="159"/>
      <c r="DG31" s="158"/>
      <c r="DH31" s="153" t="str">
        <f t="shared" si="16"/>
        <v>-</v>
      </c>
    </row>
    <row r="32" spans="2:120" x14ac:dyDescent="0.3">
      <c r="B32" s="3" t="s">
        <v>65</v>
      </c>
      <c r="C32" s="1" t="s">
        <v>29</v>
      </c>
      <c r="D32" s="1" t="s">
        <v>231</v>
      </c>
      <c r="E32" s="4" t="s">
        <v>205</v>
      </c>
      <c r="F32" s="21"/>
      <c r="G32" s="21"/>
      <c r="H32" s="21"/>
      <c r="I32" s="21"/>
      <c r="J32" s="21"/>
      <c r="K32" s="21"/>
      <c r="L32" s="124">
        <v>8</v>
      </c>
      <c r="M32" s="21">
        <v>4</v>
      </c>
      <c r="N32" s="21">
        <v>8</v>
      </c>
      <c r="O32" s="21">
        <v>4</v>
      </c>
      <c r="P32" s="21">
        <v>8</v>
      </c>
      <c r="Q32" s="124">
        <v>4</v>
      </c>
      <c r="R32" s="8">
        <f t="shared" si="5"/>
        <v>24</v>
      </c>
      <c r="S32" s="8">
        <f t="shared" si="5"/>
        <v>12</v>
      </c>
      <c r="T32" s="19">
        <f>IFERROR(INDEX(Settings!$F:$F, MATCH('PROJECT NAME DEC'!$B32 &amp; "-" &amp; 'PROJECT NAME DEC'!$C32, Settings!$H:$H,0)), "")</f>
        <v>106.25</v>
      </c>
      <c r="U32" s="19">
        <f>IFERROR(INDEX(Settings!$G:$G, MATCH('PROJECT NAME DEC'!$B32 &amp; "-" &amp; 'PROJECT NAME DEC'!$C32, Settings!$H:$H, 0)), "")</f>
        <v>850</v>
      </c>
      <c r="V32" s="19">
        <f t="shared" si="20"/>
        <v>4462.5</v>
      </c>
      <c r="W32" s="19">
        <f t="shared" si="17"/>
        <v>223.125</v>
      </c>
      <c r="X32" s="19">
        <f t="shared" si="6"/>
        <v>4239.375</v>
      </c>
      <c r="Y32" s="8">
        <v>8</v>
      </c>
      <c r="Z32" s="8">
        <v>4</v>
      </c>
      <c r="AA32" s="21">
        <v>8</v>
      </c>
      <c r="AB32" s="8">
        <v>7</v>
      </c>
      <c r="AC32" s="21">
        <v>8</v>
      </c>
      <c r="AD32" s="8">
        <v>0</v>
      </c>
      <c r="AE32" s="8">
        <v>8</v>
      </c>
      <c r="AF32" s="8">
        <v>0</v>
      </c>
      <c r="AG32" s="21"/>
      <c r="AH32" s="21"/>
      <c r="AI32" s="21"/>
      <c r="AJ32" s="21"/>
      <c r="AK32" s="21"/>
      <c r="AL32" s="21"/>
      <c r="AM32" s="44">
        <f>IFERROR(INDEX(Settings!$F:$F, MATCH('PROJECT NAME DEC'!$B32 &amp; "-" &amp; 'PROJECT NAME DEC'!$C32, Settings!$H:$H,0)), "")</f>
        <v>106.25</v>
      </c>
      <c r="AN32" s="44">
        <f>IFERROR(INDEX(Settings!$G:$G, MATCH('PROJECT NAME DEC'!$B32 &amp; "-" &amp; 'PROJECT NAME DEC'!$C32, Settings!$H:$H, 0)), "")</f>
        <v>850</v>
      </c>
      <c r="AO32" s="21">
        <f t="shared" si="7"/>
        <v>32</v>
      </c>
      <c r="AP32" s="21">
        <f t="shared" si="7"/>
        <v>11</v>
      </c>
      <c r="AQ32" s="44">
        <f t="shared" si="8"/>
        <v>4568.75</v>
      </c>
      <c r="AR32" s="44">
        <f t="shared" si="9"/>
        <v>228.4375</v>
      </c>
      <c r="AS32" s="44">
        <f t="shared" si="10"/>
        <v>4340.3125</v>
      </c>
      <c r="AT32" s="59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7"/>
      <c r="BG32" s="27"/>
      <c r="BH32" s="21"/>
      <c r="BI32" s="8">
        <f t="shared" si="11"/>
        <v>0</v>
      </c>
      <c r="BJ32" s="8">
        <f t="shared" si="11"/>
        <v>0</v>
      </c>
      <c r="BK32" s="19">
        <f>IFERROR(INDEX(Settings!$F:$F, MATCH('PROJECT NAME DEC'!$B32 &amp; "-" &amp; 'PROJECT NAME DEC'!$C32, Settings!$H:$H,0)), "")</f>
        <v>106.25</v>
      </c>
      <c r="BL32" s="19">
        <f>IFERROR(INDEX(Settings!$G:$G, MATCH('PROJECT NAME DEC'!$B32 &amp; "-" &amp; 'PROJECT NAME DEC'!$C32, Settings!$H:$H, 0)), "")</f>
        <v>850</v>
      </c>
      <c r="BM32" s="19">
        <f t="shared" si="21"/>
        <v>0</v>
      </c>
      <c r="BN32" s="19">
        <f t="shared" si="18"/>
        <v>0</v>
      </c>
      <c r="BO32" s="19">
        <f t="shared" si="12"/>
        <v>0</v>
      </c>
      <c r="BP32" s="54"/>
      <c r="BQ32" s="21"/>
      <c r="BR32" s="21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8">
        <f t="shared" si="13"/>
        <v>0</v>
      </c>
      <c r="CF32" s="8">
        <f t="shared" si="13"/>
        <v>0</v>
      </c>
      <c r="CG32" s="19">
        <f>IFERROR(INDEX(Settings!$F:$F, MATCH('PROJECT NAME DEC'!$B32 &amp; "-" &amp; 'PROJECT NAME DEC'!$C32, Settings!$H:$H,0)), "")</f>
        <v>106.25</v>
      </c>
      <c r="CH32" s="19">
        <f>IFERROR(INDEX(Settings!$G:$G, MATCH('PROJECT NAME DEC'!$B32 &amp; "-" &amp; 'PROJECT NAME DEC'!$C32, Settings!$H:$H, 0)), "")</f>
        <v>850</v>
      </c>
      <c r="CI32" s="19">
        <f t="shared" si="22"/>
        <v>0</v>
      </c>
      <c r="CJ32" s="19">
        <f t="shared" si="19"/>
        <v>0</v>
      </c>
      <c r="CK32" s="19">
        <f t="shared" si="14"/>
        <v>0</v>
      </c>
      <c r="CM32" s="3"/>
      <c r="CN32" s="3"/>
      <c r="CO32" s="3"/>
      <c r="CP32" s="3"/>
      <c r="CQ32" s="3"/>
      <c r="CR32" s="3"/>
      <c r="CS32" s="8">
        <f t="shared" si="3"/>
        <v>0</v>
      </c>
      <c r="CT32" s="8">
        <f t="shared" si="3"/>
        <v>0</v>
      </c>
      <c r="CU32" s="19">
        <f>IFERROR(INDEX(Settings!$F:$F, MATCH('PROJECT NAME DEC'!$B32 &amp; "-" &amp; 'PROJECT NAME DEC'!$C32, Settings!$H:$H,0)), "")</f>
        <v>106.25</v>
      </c>
      <c r="CV32" s="19">
        <f>IFERROR(INDEX(Settings!$G:$G, MATCH('PROJECT NAME DEC'!$B32 &amp; "-" &amp; 'PROJECT NAME DEC'!$C32, Settings!$H:$H, 0)), "")</f>
        <v>850</v>
      </c>
      <c r="CW32" s="19">
        <v>0</v>
      </c>
      <c r="CX32" s="19">
        <f t="shared" si="15"/>
        <v>0</v>
      </c>
      <c r="CY32" s="19">
        <f t="shared" si="4"/>
        <v>0</v>
      </c>
      <c r="DA32" s="162"/>
      <c r="DB32" s="158"/>
      <c r="DC32" s="158"/>
      <c r="DD32" s="158"/>
      <c r="DE32" s="159"/>
      <c r="DF32" s="159"/>
      <c r="DG32" s="158"/>
      <c r="DH32" s="152" t="str">
        <f t="shared" si="16"/>
        <v>-</v>
      </c>
    </row>
    <row r="33" spans="2:112" x14ac:dyDescent="0.3">
      <c r="B33" s="3" t="s">
        <v>65</v>
      </c>
      <c r="C33" s="1" t="s">
        <v>29</v>
      </c>
      <c r="D33" s="1" t="s">
        <v>232</v>
      </c>
      <c r="E33" s="4" t="s">
        <v>206</v>
      </c>
      <c r="F33" s="21"/>
      <c r="G33" s="21"/>
      <c r="H33" s="21"/>
      <c r="I33" s="21"/>
      <c r="J33" s="21"/>
      <c r="K33" s="21"/>
      <c r="L33" s="21">
        <v>8</v>
      </c>
      <c r="M33" s="21">
        <v>4</v>
      </c>
      <c r="N33" s="21">
        <v>8</v>
      </c>
      <c r="O33" s="21">
        <v>4</v>
      </c>
      <c r="P33" s="21">
        <v>8</v>
      </c>
      <c r="Q33" s="124">
        <v>4</v>
      </c>
      <c r="R33" s="8">
        <f t="shared" si="5"/>
        <v>24</v>
      </c>
      <c r="S33" s="8">
        <f t="shared" si="5"/>
        <v>12</v>
      </c>
      <c r="T33" s="19">
        <f>IFERROR(INDEX(Settings!$F:$F, MATCH('PROJECT NAME DEC'!$B33 &amp; "-" &amp; 'PROJECT NAME DEC'!$C33, Settings!$H:$H,0)), "")</f>
        <v>106.25</v>
      </c>
      <c r="U33" s="19">
        <f>IFERROR(INDEX(Settings!$G:$G, MATCH('PROJECT NAME DEC'!$B33 &amp; "-" &amp; 'PROJECT NAME DEC'!$C33, Settings!$H:$H, 0)), "")</f>
        <v>850</v>
      </c>
      <c r="V33" s="19">
        <f t="shared" si="20"/>
        <v>4462.5</v>
      </c>
      <c r="W33" s="19">
        <f t="shared" si="17"/>
        <v>223.125</v>
      </c>
      <c r="X33" s="19">
        <f t="shared" si="6"/>
        <v>4239.375</v>
      </c>
      <c r="Y33" s="8">
        <v>8</v>
      </c>
      <c r="Z33" s="8">
        <v>4</v>
      </c>
      <c r="AA33" s="21">
        <v>8</v>
      </c>
      <c r="AB33" s="8">
        <v>7</v>
      </c>
      <c r="AC33" s="21">
        <v>8</v>
      </c>
      <c r="AD33" s="8">
        <v>0</v>
      </c>
      <c r="AE33" s="8">
        <v>8</v>
      </c>
      <c r="AF33" s="8">
        <v>0</v>
      </c>
      <c r="AG33" s="21"/>
      <c r="AH33" s="21"/>
      <c r="AI33" s="21"/>
      <c r="AJ33" s="21"/>
      <c r="AK33" s="21"/>
      <c r="AL33" s="21"/>
      <c r="AM33" s="44">
        <f>IFERROR(INDEX(Settings!$F:$F, MATCH('PROJECT NAME DEC'!$B33 &amp; "-" &amp; 'PROJECT NAME DEC'!$C33, Settings!$H:$H,0)), "")</f>
        <v>106.25</v>
      </c>
      <c r="AN33" s="44">
        <f>IFERROR(INDEX(Settings!$G:$G, MATCH('PROJECT NAME DEC'!$B33 &amp; "-" &amp; 'PROJECT NAME DEC'!$C33, Settings!$H:$H, 0)), "")</f>
        <v>850</v>
      </c>
      <c r="AO33" s="21">
        <f t="shared" si="7"/>
        <v>32</v>
      </c>
      <c r="AP33" s="21">
        <f t="shared" si="7"/>
        <v>11</v>
      </c>
      <c r="AQ33" s="44">
        <f t="shared" si="8"/>
        <v>4568.75</v>
      </c>
      <c r="AR33" s="44">
        <f t="shared" si="9"/>
        <v>228.4375</v>
      </c>
      <c r="AS33" s="44">
        <f t="shared" si="10"/>
        <v>4340.3125</v>
      </c>
      <c r="AT33" s="59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7"/>
      <c r="BG33" s="27"/>
      <c r="BH33" s="21"/>
      <c r="BI33" s="8">
        <f t="shared" si="11"/>
        <v>0</v>
      </c>
      <c r="BJ33" s="8">
        <f t="shared" si="11"/>
        <v>0</v>
      </c>
      <c r="BK33" s="19">
        <f>IFERROR(INDEX(Settings!$F:$F, MATCH('PROJECT NAME DEC'!$B33 &amp; "-" &amp; 'PROJECT NAME DEC'!$C33, Settings!$H:$H,0)), "")</f>
        <v>106.25</v>
      </c>
      <c r="BL33" s="19">
        <f>IFERROR(INDEX(Settings!$G:$G, MATCH('PROJECT NAME DEC'!$B33 &amp; "-" &amp; 'PROJECT NAME DEC'!$C33, Settings!$H:$H, 0)), "")</f>
        <v>850</v>
      </c>
      <c r="BM33" s="19">
        <f t="shared" si="21"/>
        <v>0</v>
      </c>
      <c r="BN33" s="19">
        <f t="shared" si="18"/>
        <v>0</v>
      </c>
      <c r="BO33" s="19">
        <f t="shared" si="12"/>
        <v>0</v>
      </c>
      <c r="BP33" s="54"/>
      <c r="BQ33" s="21"/>
      <c r="BR33" s="21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8">
        <f t="shared" si="13"/>
        <v>0</v>
      </c>
      <c r="CF33" s="8">
        <f t="shared" si="13"/>
        <v>0</v>
      </c>
      <c r="CG33" s="19">
        <f>IFERROR(INDEX(Settings!$F:$F, MATCH('PROJECT NAME DEC'!$B33 &amp; "-" &amp; 'PROJECT NAME DEC'!$C33, Settings!$H:$H,0)), "")</f>
        <v>106.25</v>
      </c>
      <c r="CH33" s="19">
        <f>IFERROR(INDEX(Settings!$G:$G, MATCH('PROJECT NAME DEC'!$B33 &amp; "-" &amp; 'PROJECT NAME DEC'!$C33, Settings!$H:$H, 0)), "")</f>
        <v>850</v>
      </c>
      <c r="CI33" s="19">
        <f t="shared" si="22"/>
        <v>0</v>
      </c>
      <c r="CJ33" s="19">
        <f t="shared" si="19"/>
        <v>0</v>
      </c>
      <c r="CK33" s="19">
        <f t="shared" si="14"/>
        <v>0</v>
      </c>
      <c r="CM33" s="3"/>
      <c r="CN33" s="3"/>
      <c r="CO33" s="3"/>
      <c r="CP33" s="3"/>
      <c r="CQ33" s="3"/>
      <c r="CR33" s="3"/>
      <c r="CS33" s="8">
        <f t="shared" si="3"/>
        <v>0</v>
      </c>
      <c r="CT33" s="8">
        <f t="shared" si="3"/>
        <v>0</v>
      </c>
      <c r="CU33" s="19">
        <f>IFERROR(INDEX(Settings!$F:$F, MATCH('PROJECT NAME DEC'!$B33 &amp; "-" &amp; 'PROJECT NAME DEC'!$C33, Settings!$H:$H,0)), "")</f>
        <v>106.25</v>
      </c>
      <c r="CV33" s="19">
        <f>IFERROR(INDEX(Settings!$G:$G, MATCH('PROJECT NAME DEC'!$B33 &amp; "-" &amp; 'PROJECT NAME DEC'!$C33, Settings!$H:$H, 0)), "")</f>
        <v>850</v>
      </c>
      <c r="CW33" s="19">
        <v>0</v>
      </c>
      <c r="CX33" s="19">
        <f t="shared" si="15"/>
        <v>0</v>
      </c>
      <c r="CY33" s="19">
        <f t="shared" si="4"/>
        <v>0</v>
      </c>
      <c r="DA33" s="162"/>
      <c r="DB33" s="158"/>
      <c r="DC33" s="158"/>
      <c r="DD33" s="158"/>
      <c r="DE33" s="159"/>
      <c r="DF33" s="159"/>
      <c r="DG33" s="158"/>
      <c r="DH33" s="153" t="str">
        <f t="shared" si="16"/>
        <v>-</v>
      </c>
    </row>
    <row r="34" spans="2:112" x14ac:dyDescent="0.3">
      <c r="B34" s="3" t="s">
        <v>65</v>
      </c>
      <c r="C34" s="1" t="s">
        <v>29</v>
      </c>
      <c r="D34" s="1" t="s">
        <v>233</v>
      </c>
      <c r="E34" s="4" t="s">
        <v>189</v>
      </c>
      <c r="F34" s="21"/>
      <c r="G34" s="21"/>
      <c r="H34" s="21"/>
      <c r="I34" s="21"/>
      <c r="J34" s="21"/>
      <c r="K34" s="21"/>
      <c r="L34" s="21">
        <v>8</v>
      </c>
      <c r="M34" s="21">
        <v>4</v>
      </c>
      <c r="N34" s="21">
        <v>8</v>
      </c>
      <c r="O34" s="21">
        <v>4</v>
      </c>
      <c r="P34" s="21">
        <v>8</v>
      </c>
      <c r="Q34" s="124">
        <v>4</v>
      </c>
      <c r="R34" s="8">
        <f t="shared" si="5"/>
        <v>24</v>
      </c>
      <c r="S34" s="8">
        <f t="shared" si="5"/>
        <v>12</v>
      </c>
      <c r="T34" s="19">
        <f>IFERROR(INDEX(Settings!$F:$F, MATCH('PROJECT NAME DEC'!$B34 &amp; "-" &amp; 'PROJECT NAME DEC'!$C34, Settings!$H:$H,0)), "")</f>
        <v>106.25</v>
      </c>
      <c r="U34" s="19">
        <f>IFERROR(INDEX(Settings!$G:$G, MATCH('PROJECT NAME DEC'!$B34 &amp; "-" &amp; 'PROJECT NAME DEC'!$C34, Settings!$H:$H, 0)), "")</f>
        <v>850</v>
      </c>
      <c r="V34" s="20">
        <f t="shared" si="20"/>
        <v>4462.5</v>
      </c>
      <c r="W34" s="20">
        <f t="shared" si="17"/>
        <v>223.125</v>
      </c>
      <c r="X34" s="19">
        <f t="shared" si="6"/>
        <v>4239.375</v>
      </c>
      <c r="Y34" s="8">
        <v>8</v>
      </c>
      <c r="Z34" s="8">
        <v>4</v>
      </c>
      <c r="AA34" s="21">
        <v>8</v>
      </c>
      <c r="AB34" s="8">
        <v>7</v>
      </c>
      <c r="AC34" s="21">
        <v>8</v>
      </c>
      <c r="AD34" s="8">
        <v>0</v>
      </c>
      <c r="AE34" s="8">
        <v>8</v>
      </c>
      <c r="AF34" s="8">
        <v>0</v>
      </c>
      <c r="AG34" s="21"/>
      <c r="AH34" s="21"/>
      <c r="AI34" s="21"/>
      <c r="AJ34" s="21"/>
      <c r="AK34" s="21"/>
      <c r="AL34" s="21"/>
      <c r="AM34" s="44">
        <f>IFERROR(INDEX(Settings!$F:$F, MATCH('PROJECT NAME DEC'!$B34 &amp; "-" &amp; 'PROJECT NAME DEC'!$C34, Settings!$H:$H,0)), "")</f>
        <v>106.25</v>
      </c>
      <c r="AN34" s="44">
        <f>IFERROR(INDEX(Settings!$G:$G, MATCH('PROJECT NAME DEC'!$B34 &amp; "-" &amp; 'PROJECT NAME DEC'!$C34, Settings!$H:$H, 0)), "")</f>
        <v>850</v>
      </c>
      <c r="AO34" s="21">
        <f t="shared" si="7"/>
        <v>32</v>
      </c>
      <c r="AP34" s="21">
        <f t="shared" si="7"/>
        <v>11</v>
      </c>
      <c r="AQ34" s="44">
        <f t="shared" si="8"/>
        <v>4568.75</v>
      </c>
      <c r="AR34" s="44">
        <f t="shared" si="9"/>
        <v>228.4375</v>
      </c>
      <c r="AS34" s="44">
        <f t="shared" si="10"/>
        <v>4340.3125</v>
      </c>
      <c r="AT34" s="59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7"/>
      <c r="BG34" s="27"/>
      <c r="BH34" s="21"/>
      <c r="BI34" s="8">
        <f t="shared" si="11"/>
        <v>0</v>
      </c>
      <c r="BJ34" s="8">
        <f t="shared" si="11"/>
        <v>0</v>
      </c>
      <c r="BK34" s="19">
        <f>IFERROR(INDEX(Settings!$F:$F, MATCH('PROJECT NAME DEC'!$B34 &amp; "-" &amp; 'PROJECT NAME DEC'!$C34, Settings!$H:$H,0)), "")</f>
        <v>106.25</v>
      </c>
      <c r="BL34" s="19">
        <f>IFERROR(INDEX(Settings!$G:$G, MATCH('PROJECT NAME DEC'!$B34 &amp; "-" &amp; 'PROJECT NAME DEC'!$C34, Settings!$H:$H, 0)), "")</f>
        <v>850</v>
      </c>
      <c r="BM34" s="20">
        <f t="shared" si="21"/>
        <v>0</v>
      </c>
      <c r="BN34" s="20">
        <f t="shared" si="18"/>
        <v>0</v>
      </c>
      <c r="BO34" s="19">
        <f t="shared" si="12"/>
        <v>0</v>
      </c>
      <c r="BP34" s="54"/>
      <c r="BQ34" s="21"/>
      <c r="BR34" s="21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8">
        <f t="shared" si="13"/>
        <v>0</v>
      </c>
      <c r="CF34" s="8">
        <f t="shared" si="13"/>
        <v>0</v>
      </c>
      <c r="CG34" s="19">
        <f>IFERROR(INDEX(Settings!$F:$F, MATCH('PROJECT NAME DEC'!$B34 &amp; "-" &amp; 'PROJECT NAME DEC'!$C34, Settings!$H:$H,0)), "")</f>
        <v>106.25</v>
      </c>
      <c r="CH34" s="19">
        <f>IFERROR(INDEX(Settings!$G:$G, MATCH('PROJECT NAME DEC'!$B34 &amp; "-" &amp; 'PROJECT NAME DEC'!$C34, Settings!$H:$H, 0)), "")</f>
        <v>850</v>
      </c>
      <c r="CI34" s="20">
        <f t="shared" si="22"/>
        <v>0</v>
      </c>
      <c r="CJ34" s="20">
        <f t="shared" si="19"/>
        <v>0</v>
      </c>
      <c r="CK34" s="19">
        <f t="shared" si="14"/>
        <v>0</v>
      </c>
      <c r="CM34" s="3"/>
      <c r="CN34" s="3"/>
      <c r="CO34" s="3"/>
      <c r="CP34" s="3"/>
      <c r="CQ34" s="3"/>
      <c r="CR34" s="3"/>
      <c r="CS34" s="8">
        <f>SUM(CM34,CO34,CQ34)</f>
        <v>0</v>
      </c>
      <c r="CT34" s="8">
        <f t="shared" ref="CT34:CT48" si="28">SUM(CN34,CP34,CR34)</f>
        <v>0</v>
      </c>
      <c r="CU34" s="19">
        <f>IFERROR(INDEX(Settings!$F:$F, MATCH('PROJECT NAME DEC'!$B34 &amp; "-" &amp; 'PROJECT NAME DEC'!$C34, Settings!$H:$H,0)), "")</f>
        <v>106.25</v>
      </c>
      <c r="CV34" s="19">
        <f>IFERROR(INDEX(Settings!$G:$G, MATCH('PROJECT NAME DEC'!$B34 &amp; "-" &amp; 'PROJECT NAME DEC'!$C34, Settings!$H:$H, 0)), "")</f>
        <v>850</v>
      </c>
      <c r="CW34" s="19">
        <v>0</v>
      </c>
      <c r="CX34" s="20">
        <f t="shared" si="15"/>
        <v>0</v>
      </c>
      <c r="CY34" s="19">
        <f t="shared" si="4"/>
        <v>0</v>
      </c>
      <c r="DA34" s="162"/>
      <c r="DB34" s="158"/>
      <c r="DC34" s="158"/>
      <c r="DD34" s="158"/>
      <c r="DE34" s="159"/>
      <c r="DF34" s="159"/>
      <c r="DG34" s="158"/>
      <c r="DH34" s="152" t="str">
        <f t="shared" si="16"/>
        <v>-</v>
      </c>
    </row>
    <row r="35" spans="2:112" x14ac:dyDescent="0.3">
      <c r="B35" s="3" t="s">
        <v>65</v>
      </c>
      <c r="C35" s="1" t="s">
        <v>29</v>
      </c>
      <c r="D35" s="1" t="s">
        <v>234</v>
      </c>
      <c r="E35" s="4" t="s">
        <v>190</v>
      </c>
      <c r="F35" s="21"/>
      <c r="G35" s="21"/>
      <c r="H35" s="21"/>
      <c r="I35" s="21"/>
      <c r="J35" s="21"/>
      <c r="K35" s="21"/>
      <c r="L35" s="21">
        <v>8</v>
      </c>
      <c r="M35" s="21">
        <v>4</v>
      </c>
      <c r="N35" s="21">
        <v>8</v>
      </c>
      <c r="O35" s="21">
        <v>4</v>
      </c>
      <c r="P35" s="21">
        <v>8</v>
      </c>
      <c r="Q35" s="124">
        <v>4</v>
      </c>
      <c r="R35" s="8">
        <f t="shared" si="5"/>
        <v>24</v>
      </c>
      <c r="S35" s="8">
        <f t="shared" si="5"/>
        <v>12</v>
      </c>
      <c r="T35" s="19">
        <f>IFERROR(INDEX(Settings!$F:$F, MATCH('PROJECT NAME DEC'!$B35 &amp; "-" &amp; 'PROJECT NAME DEC'!$C35, Settings!$H:$H,0)), "")</f>
        <v>106.25</v>
      </c>
      <c r="U35" s="19">
        <f>IFERROR(INDEX(Settings!$G:$G, MATCH('PROJECT NAME DEC'!$B35 &amp; "-" &amp; 'PROJECT NAME DEC'!$C35, Settings!$H:$H, 0)), "")</f>
        <v>850</v>
      </c>
      <c r="V35" s="20">
        <f t="shared" si="20"/>
        <v>4462.5</v>
      </c>
      <c r="W35" s="20">
        <f t="shared" si="17"/>
        <v>223.125</v>
      </c>
      <c r="X35" s="19">
        <f t="shared" si="6"/>
        <v>4239.375</v>
      </c>
      <c r="Y35" s="8">
        <v>8</v>
      </c>
      <c r="Z35" s="8">
        <v>4</v>
      </c>
      <c r="AA35" s="21">
        <v>8</v>
      </c>
      <c r="AB35" s="8">
        <v>7</v>
      </c>
      <c r="AC35" s="21">
        <v>8</v>
      </c>
      <c r="AD35" s="8">
        <v>0</v>
      </c>
      <c r="AE35" s="8">
        <v>8</v>
      </c>
      <c r="AF35" s="8">
        <v>0</v>
      </c>
      <c r="AG35" s="21"/>
      <c r="AH35" s="21"/>
      <c r="AI35" s="21"/>
      <c r="AJ35" s="21"/>
      <c r="AK35" s="21"/>
      <c r="AL35" s="21"/>
      <c r="AM35" s="44">
        <f>IFERROR(INDEX(Settings!$F:$F, MATCH('PROJECT NAME DEC'!$B35 &amp; "-" &amp; 'PROJECT NAME DEC'!$C35, Settings!$H:$H,0)), "")</f>
        <v>106.25</v>
      </c>
      <c r="AN35" s="44">
        <f>IFERROR(INDEX(Settings!$G:$G, MATCH('PROJECT NAME DEC'!$B35 &amp; "-" &amp; 'PROJECT NAME DEC'!$C35, Settings!$H:$H, 0)), "")</f>
        <v>850</v>
      </c>
      <c r="AO35" s="21">
        <f t="shared" si="7"/>
        <v>32</v>
      </c>
      <c r="AP35" s="21">
        <f t="shared" si="7"/>
        <v>11</v>
      </c>
      <c r="AQ35" s="44">
        <f t="shared" si="8"/>
        <v>4568.75</v>
      </c>
      <c r="AR35" s="44">
        <f t="shared" si="9"/>
        <v>228.4375</v>
      </c>
      <c r="AS35" s="44">
        <f t="shared" si="10"/>
        <v>4340.3125</v>
      </c>
      <c r="AT35" s="59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7"/>
      <c r="BG35" s="27"/>
      <c r="BH35" s="21"/>
      <c r="BI35" s="8">
        <f t="shared" si="11"/>
        <v>0</v>
      </c>
      <c r="BJ35" s="8">
        <f t="shared" si="11"/>
        <v>0</v>
      </c>
      <c r="BK35" s="19">
        <f>IFERROR(INDEX(Settings!$F:$F, MATCH('PROJECT NAME DEC'!$B35 &amp; "-" &amp; 'PROJECT NAME DEC'!$C35, Settings!$H:$H,0)), "")</f>
        <v>106.25</v>
      </c>
      <c r="BL35" s="19">
        <f>IFERROR(INDEX(Settings!$G:$G, MATCH('PROJECT NAME DEC'!$B35 &amp; "-" &amp; 'PROJECT NAME DEC'!$C35, Settings!$H:$H, 0)), "")</f>
        <v>850</v>
      </c>
      <c r="BM35" s="20">
        <f t="shared" si="21"/>
        <v>0</v>
      </c>
      <c r="BN35" s="20">
        <f t="shared" si="18"/>
        <v>0</v>
      </c>
      <c r="BO35" s="19">
        <f t="shared" si="12"/>
        <v>0</v>
      </c>
      <c r="BP35" s="54"/>
      <c r="BQ35" s="21"/>
      <c r="BR35" s="21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8">
        <f t="shared" si="13"/>
        <v>0</v>
      </c>
      <c r="CF35" s="8">
        <f t="shared" si="13"/>
        <v>0</v>
      </c>
      <c r="CG35" s="19">
        <f>IFERROR(INDEX(Settings!$F:$F, MATCH('PROJECT NAME DEC'!$B35 &amp; "-" &amp; 'PROJECT NAME DEC'!$C35, Settings!$H:$H,0)), "")</f>
        <v>106.25</v>
      </c>
      <c r="CH35" s="19">
        <f>IFERROR(INDEX(Settings!$G:$G, MATCH('PROJECT NAME DEC'!$B35 &amp; "-" &amp; 'PROJECT NAME DEC'!$C35, Settings!$H:$H, 0)), "")</f>
        <v>850</v>
      </c>
      <c r="CI35" s="20">
        <f t="shared" si="22"/>
        <v>0</v>
      </c>
      <c r="CJ35" s="20">
        <f t="shared" si="19"/>
        <v>0</v>
      </c>
      <c r="CK35" s="19">
        <f t="shared" si="14"/>
        <v>0</v>
      </c>
      <c r="CM35" s="3"/>
      <c r="CN35" s="3"/>
      <c r="CO35" s="3"/>
      <c r="CP35" s="3"/>
      <c r="CQ35" s="3"/>
      <c r="CR35" s="3"/>
      <c r="CS35" s="8">
        <f t="shared" ref="CS35:CS48" si="29">SUM(CM35,CO35,CQ35)</f>
        <v>0</v>
      </c>
      <c r="CT35" s="8">
        <f t="shared" si="28"/>
        <v>0</v>
      </c>
      <c r="CU35" s="19">
        <f>IFERROR(INDEX(Settings!$F:$F, MATCH('PROJECT NAME DEC'!$B35 &amp; "-" &amp; 'PROJECT NAME DEC'!$C35, Settings!$H:$H,0)), "")</f>
        <v>106.25</v>
      </c>
      <c r="CV35" s="19">
        <f>IFERROR(INDEX(Settings!$G:$G, MATCH('PROJECT NAME DEC'!$B35 &amp; "-" &amp; 'PROJECT NAME DEC'!$C35, Settings!$H:$H, 0)), "")</f>
        <v>850</v>
      </c>
      <c r="CW35" s="19">
        <v>0</v>
      </c>
      <c r="CX35" s="20">
        <f t="shared" si="15"/>
        <v>0</v>
      </c>
      <c r="CY35" s="19">
        <f t="shared" si="4"/>
        <v>0</v>
      </c>
      <c r="DA35" s="162"/>
      <c r="DB35" s="158"/>
      <c r="DC35" s="158"/>
      <c r="DD35" s="158"/>
      <c r="DE35" s="159"/>
      <c r="DF35" s="159"/>
      <c r="DG35" s="158"/>
      <c r="DH35" s="153" t="str">
        <f t="shared" si="16"/>
        <v>-</v>
      </c>
    </row>
    <row r="36" spans="2:112" x14ac:dyDescent="0.3">
      <c r="B36" s="3" t="s">
        <v>65</v>
      </c>
      <c r="C36" s="1" t="s">
        <v>29</v>
      </c>
      <c r="D36" s="1" t="s">
        <v>235</v>
      </c>
      <c r="E36" s="4" t="s">
        <v>172</v>
      </c>
      <c r="F36" s="21"/>
      <c r="G36" s="21"/>
      <c r="H36" s="21"/>
      <c r="I36" s="21"/>
      <c r="J36" s="21"/>
      <c r="K36" s="21"/>
      <c r="L36" s="21">
        <v>8</v>
      </c>
      <c r="M36" s="21">
        <v>4</v>
      </c>
      <c r="N36" s="21">
        <v>8</v>
      </c>
      <c r="O36" s="21">
        <v>4</v>
      </c>
      <c r="P36" s="21">
        <v>8</v>
      </c>
      <c r="Q36" s="124">
        <v>4</v>
      </c>
      <c r="R36" s="8">
        <f t="shared" si="5"/>
        <v>24</v>
      </c>
      <c r="S36" s="8">
        <f t="shared" si="5"/>
        <v>12</v>
      </c>
      <c r="T36" s="19">
        <f>IFERROR(INDEX(Settings!$F:$F, MATCH('PROJECT NAME DEC'!$B36 &amp; "-" &amp; 'PROJECT NAME DEC'!$C36, Settings!$H:$H,0)), "")</f>
        <v>106.25</v>
      </c>
      <c r="U36" s="19">
        <f>IFERROR(INDEX(Settings!$G:$G, MATCH('PROJECT NAME DEC'!$B36 &amp; "-" &amp; 'PROJECT NAME DEC'!$C36, Settings!$H:$H, 0)), "")</f>
        <v>850</v>
      </c>
      <c r="V36" s="20">
        <f t="shared" si="20"/>
        <v>4462.5</v>
      </c>
      <c r="W36" s="20">
        <f t="shared" si="17"/>
        <v>223.125</v>
      </c>
      <c r="X36" s="19">
        <f t="shared" si="6"/>
        <v>4239.375</v>
      </c>
      <c r="Y36" s="8">
        <v>8</v>
      </c>
      <c r="Z36" s="8">
        <v>4</v>
      </c>
      <c r="AA36" s="21">
        <v>8</v>
      </c>
      <c r="AB36" s="8">
        <v>7</v>
      </c>
      <c r="AC36" s="21">
        <v>8</v>
      </c>
      <c r="AD36" s="8">
        <v>0</v>
      </c>
      <c r="AE36" s="8">
        <v>8</v>
      </c>
      <c r="AF36" s="8">
        <v>0</v>
      </c>
      <c r="AG36" s="21"/>
      <c r="AH36" s="21"/>
      <c r="AI36" s="21"/>
      <c r="AJ36" s="21"/>
      <c r="AK36" s="21"/>
      <c r="AL36" s="21"/>
      <c r="AM36" s="44">
        <f>IFERROR(INDEX(Settings!$F:$F, MATCH('PROJECT NAME DEC'!$B36 &amp; "-" &amp; 'PROJECT NAME DEC'!$C36, Settings!$H:$H,0)), "")</f>
        <v>106.25</v>
      </c>
      <c r="AN36" s="44">
        <f>IFERROR(INDEX(Settings!$G:$G, MATCH('PROJECT NAME DEC'!$B36 &amp; "-" &amp; 'PROJECT NAME DEC'!$C36, Settings!$H:$H, 0)), "")</f>
        <v>850</v>
      </c>
      <c r="AO36" s="21">
        <f t="shared" si="7"/>
        <v>32</v>
      </c>
      <c r="AP36" s="21">
        <f t="shared" si="7"/>
        <v>11</v>
      </c>
      <c r="AQ36" s="44">
        <f t="shared" si="8"/>
        <v>4568.75</v>
      </c>
      <c r="AR36" s="44">
        <f t="shared" si="9"/>
        <v>228.4375</v>
      </c>
      <c r="AS36" s="44">
        <f t="shared" si="10"/>
        <v>4340.3125</v>
      </c>
      <c r="AT36" s="59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7"/>
      <c r="BG36" s="27"/>
      <c r="BH36" s="21"/>
      <c r="BI36" s="8">
        <f t="shared" si="11"/>
        <v>0</v>
      </c>
      <c r="BJ36" s="8">
        <f t="shared" si="11"/>
        <v>0</v>
      </c>
      <c r="BK36" s="19">
        <f>IFERROR(INDEX(Settings!$F:$F, MATCH('PROJECT NAME DEC'!$B36 &amp; "-" &amp; 'PROJECT NAME DEC'!$C36, Settings!$H:$H,0)), "")</f>
        <v>106.25</v>
      </c>
      <c r="BL36" s="19">
        <f>IFERROR(INDEX(Settings!$G:$G, MATCH('PROJECT NAME DEC'!$B36 &amp; "-" &amp; 'PROJECT NAME DEC'!$C36, Settings!$H:$H, 0)), "")</f>
        <v>850</v>
      </c>
      <c r="BM36" s="20">
        <f t="shared" si="21"/>
        <v>0</v>
      </c>
      <c r="BN36" s="20">
        <f t="shared" si="18"/>
        <v>0</v>
      </c>
      <c r="BO36" s="19">
        <f t="shared" si="12"/>
        <v>0</v>
      </c>
      <c r="BP36" s="54"/>
      <c r="BQ36" s="21"/>
      <c r="BR36" s="21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8">
        <f t="shared" si="13"/>
        <v>0</v>
      </c>
      <c r="CF36" s="8">
        <f t="shared" si="13"/>
        <v>0</v>
      </c>
      <c r="CG36" s="19">
        <f>IFERROR(INDEX(Settings!$F:$F, MATCH('PROJECT NAME DEC'!$B36 &amp; "-" &amp; 'PROJECT NAME DEC'!$C36, Settings!$H:$H,0)), "")</f>
        <v>106.25</v>
      </c>
      <c r="CH36" s="19">
        <f>IFERROR(INDEX(Settings!$G:$G, MATCH('PROJECT NAME DEC'!$B36 &amp; "-" &amp; 'PROJECT NAME DEC'!$C36, Settings!$H:$H, 0)), "")</f>
        <v>850</v>
      </c>
      <c r="CI36" s="20">
        <f t="shared" si="22"/>
        <v>0</v>
      </c>
      <c r="CJ36" s="20">
        <f t="shared" si="19"/>
        <v>0</v>
      </c>
      <c r="CK36" s="19">
        <f t="shared" si="14"/>
        <v>0</v>
      </c>
      <c r="CM36" s="3"/>
      <c r="CN36" s="3"/>
      <c r="CO36" s="3"/>
      <c r="CP36" s="3"/>
      <c r="CQ36" s="3"/>
      <c r="CR36" s="3"/>
      <c r="CS36" s="8">
        <f t="shared" si="29"/>
        <v>0</v>
      </c>
      <c r="CT36" s="8">
        <f t="shared" si="28"/>
        <v>0</v>
      </c>
      <c r="CU36" s="19">
        <f>IFERROR(INDEX(Settings!$F:$F, MATCH('PROJECT NAME DEC'!$B36 &amp; "-" &amp; 'PROJECT NAME DEC'!$C36, Settings!$H:$H,0)), "")</f>
        <v>106.25</v>
      </c>
      <c r="CV36" s="19">
        <f>IFERROR(INDEX(Settings!$G:$G, MATCH('PROJECT NAME DEC'!$B36 &amp; "-" &amp; 'PROJECT NAME DEC'!$C36, Settings!$H:$H, 0)), "")</f>
        <v>850</v>
      </c>
      <c r="CW36" s="19">
        <v>0</v>
      </c>
      <c r="CX36" s="20">
        <f t="shared" si="15"/>
        <v>0</v>
      </c>
      <c r="CY36" s="19">
        <f t="shared" si="4"/>
        <v>0</v>
      </c>
      <c r="DA36" s="162"/>
      <c r="DB36" s="158"/>
      <c r="DC36" s="158"/>
      <c r="DD36" s="158"/>
      <c r="DE36" s="159"/>
      <c r="DF36" s="159"/>
      <c r="DG36" s="158"/>
      <c r="DH36" s="152" t="str">
        <f t="shared" si="16"/>
        <v>-</v>
      </c>
    </row>
    <row r="37" spans="2:112" x14ac:dyDescent="0.3">
      <c r="B37" s="3" t="s">
        <v>65</v>
      </c>
      <c r="C37" s="1" t="s">
        <v>29</v>
      </c>
      <c r="D37" s="1" t="s">
        <v>236</v>
      </c>
      <c r="E37" s="4" t="s">
        <v>207</v>
      </c>
      <c r="F37" s="21"/>
      <c r="G37" s="21"/>
      <c r="H37" s="21"/>
      <c r="I37" s="21"/>
      <c r="J37" s="21"/>
      <c r="K37" s="21"/>
      <c r="L37" s="21">
        <v>8</v>
      </c>
      <c r="M37" s="21">
        <v>4</v>
      </c>
      <c r="N37" s="21">
        <v>8</v>
      </c>
      <c r="O37" s="21">
        <v>4</v>
      </c>
      <c r="P37" s="21">
        <v>8</v>
      </c>
      <c r="Q37" s="124">
        <v>4</v>
      </c>
      <c r="R37" s="8">
        <f t="shared" si="5"/>
        <v>24</v>
      </c>
      <c r="S37" s="8">
        <f t="shared" si="5"/>
        <v>12</v>
      </c>
      <c r="T37" s="19">
        <f>IFERROR(INDEX(Settings!$F:$F, MATCH('PROJECT NAME DEC'!$B37 &amp; "-" &amp; 'PROJECT NAME DEC'!$C37, Settings!$H:$H,0)), "")</f>
        <v>106.25</v>
      </c>
      <c r="U37" s="19">
        <f>IFERROR(INDEX(Settings!$G:$G, MATCH('PROJECT NAME DEC'!$B37 &amp; "-" &amp; 'PROJECT NAME DEC'!$C37, Settings!$H:$H, 0)), "")</f>
        <v>850</v>
      </c>
      <c r="V37" s="20">
        <f t="shared" si="20"/>
        <v>4462.5</v>
      </c>
      <c r="W37" s="20">
        <f t="shared" si="17"/>
        <v>223.125</v>
      </c>
      <c r="X37" s="19">
        <f t="shared" si="6"/>
        <v>4239.375</v>
      </c>
      <c r="Y37" s="8">
        <v>8</v>
      </c>
      <c r="Z37" s="8">
        <v>4</v>
      </c>
      <c r="AA37" s="21">
        <v>8</v>
      </c>
      <c r="AB37" s="8">
        <v>7</v>
      </c>
      <c r="AC37" s="21">
        <v>8</v>
      </c>
      <c r="AD37" s="8">
        <v>0</v>
      </c>
      <c r="AE37" s="8">
        <v>8</v>
      </c>
      <c r="AF37" s="8">
        <v>0</v>
      </c>
      <c r="AG37" s="21"/>
      <c r="AH37" s="21"/>
      <c r="AI37" s="21"/>
      <c r="AJ37" s="21"/>
      <c r="AK37" s="21"/>
      <c r="AL37" s="21"/>
      <c r="AM37" s="44">
        <f>IFERROR(INDEX(Settings!$F:$F, MATCH('PROJECT NAME DEC'!$B37 &amp; "-" &amp; 'PROJECT NAME DEC'!$C37, Settings!$H:$H,0)), "")</f>
        <v>106.25</v>
      </c>
      <c r="AN37" s="44">
        <f>IFERROR(INDEX(Settings!$G:$G, MATCH('PROJECT NAME DEC'!$B37 &amp; "-" &amp; 'PROJECT NAME DEC'!$C37, Settings!$H:$H, 0)), "")</f>
        <v>850</v>
      </c>
      <c r="AO37" s="21">
        <f t="shared" si="7"/>
        <v>32</v>
      </c>
      <c r="AP37" s="21">
        <f t="shared" si="7"/>
        <v>11</v>
      </c>
      <c r="AQ37" s="44">
        <f t="shared" si="8"/>
        <v>4568.75</v>
      </c>
      <c r="AR37" s="44">
        <f t="shared" si="9"/>
        <v>228.4375</v>
      </c>
      <c r="AS37" s="44">
        <f t="shared" si="10"/>
        <v>4340.3125</v>
      </c>
      <c r="AT37" s="59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7"/>
      <c r="BG37" s="27"/>
      <c r="BH37" s="21"/>
      <c r="BI37" s="8">
        <f t="shared" si="11"/>
        <v>0</v>
      </c>
      <c r="BJ37" s="8">
        <f t="shared" si="11"/>
        <v>0</v>
      </c>
      <c r="BK37" s="19">
        <f>IFERROR(INDEX(Settings!$F:$F, MATCH('PROJECT NAME DEC'!$B37 &amp; "-" &amp; 'PROJECT NAME DEC'!$C37, Settings!$H:$H,0)), "")</f>
        <v>106.25</v>
      </c>
      <c r="BL37" s="19">
        <f>IFERROR(INDEX(Settings!$G:$G, MATCH('PROJECT NAME DEC'!$B37 &amp; "-" &amp; 'PROJECT NAME DEC'!$C37, Settings!$H:$H, 0)), "")</f>
        <v>850</v>
      </c>
      <c r="BM37" s="20">
        <f t="shared" si="21"/>
        <v>0</v>
      </c>
      <c r="BN37" s="20">
        <f t="shared" si="18"/>
        <v>0</v>
      </c>
      <c r="BO37" s="19">
        <f t="shared" si="12"/>
        <v>0</v>
      </c>
      <c r="BP37" s="54"/>
      <c r="BQ37" s="21"/>
      <c r="BR37" s="21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8">
        <f t="shared" si="13"/>
        <v>0</v>
      </c>
      <c r="CF37" s="8">
        <f t="shared" si="13"/>
        <v>0</v>
      </c>
      <c r="CG37" s="19">
        <f>IFERROR(INDEX(Settings!$F:$F, MATCH('PROJECT NAME DEC'!$B37 &amp; "-" &amp; 'PROJECT NAME DEC'!$C37, Settings!$H:$H,0)), "")</f>
        <v>106.25</v>
      </c>
      <c r="CH37" s="19">
        <f>IFERROR(INDEX(Settings!$G:$G, MATCH('PROJECT NAME DEC'!$B37 &amp; "-" &amp; 'PROJECT NAME DEC'!$C37, Settings!$H:$H, 0)), "")</f>
        <v>850</v>
      </c>
      <c r="CI37" s="20">
        <f t="shared" si="22"/>
        <v>0</v>
      </c>
      <c r="CJ37" s="20">
        <f t="shared" si="19"/>
        <v>0</v>
      </c>
      <c r="CK37" s="19">
        <f t="shared" si="14"/>
        <v>0</v>
      </c>
      <c r="CM37" s="3"/>
      <c r="CN37" s="3"/>
      <c r="CO37" s="3"/>
      <c r="CP37" s="3"/>
      <c r="CQ37" s="3"/>
      <c r="CR37" s="3"/>
      <c r="CS37" s="8">
        <f t="shared" si="29"/>
        <v>0</v>
      </c>
      <c r="CT37" s="8">
        <f t="shared" si="28"/>
        <v>0</v>
      </c>
      <c r="CU37" s="19">
        <f>IFERROR(INDEX(Settings!$F:$F, MATCH('PROJECT NAME DEC'!$B37 &amp; "-" &amp; 'PROJECT NAME DEC'!$C37, Settings!$H:$H,0)), "")</f>
        <v>106.25</v>
      </c>
      <c r="CV37" s="19">
        <f>IFERROR(INDEX(Settings!$G:$G, MATCH('PROJECT NAME DEC'!$B37 &amp; "-" &amp; 'PROJECT NAME DEC'!$C37, Settings!$H:$H, 0)), "")</f>
        <v>850</v>
      </c>
      <c r="CW37" s="19">
        <v>0</v>
      </c>
      <c r="CX37" s="20">
        <f t="shared" si="15"/>
        <v>0</v>
      </c>
      <c r="CY37" s="19">
        <f t="shared" si="4"/>
        <v>0</v>
      </c>
      <c r="DA37" s="162"/>
      <c r="DB37" s="158"/>
      <c r="DC37" s="158"/>
      <c r="DD37" s="158"/>
      <c r="DE37" s="159"/>
      <c r="DF37" s="159"/>
      <c r="DG37" s="158"/>
      <c r="DH37" s="153" t="str">
        <f t="shared" si="16"/>
        <v>-</v>
      </c>
    </row>
    <row r="38" spans="2:112" x14ac:dyDescent="0.3">
      <c r="B38" s="3" t="s">
        <v>65</v>
      </c>
      <c r="C38" s="1" t="s">
        <v>29</v>
      </c>
      <c r="D38" s="1" t="s">
        <v>237</v>
      </c>
      <c r="E38" s="4" t="s">
        <v>192</v>
      </c>
      <c r="F38" s="21"/>
      <c r="G38" s="21"/>
      <c r="H38" s="21"/>
      <c r="I38" s="21"/>
      <c r="J38" s="21"/>
      <c r="K38" s="21"/>
      <c r="L38" s="21"/>
      <c r="M38" s="21"/>
      <c r="N38" s="21">
        <v>8</v>
      </c>
      <c r="O38" s="21">
        <v>4</v>
      </c>
      <c r="P38" s="21">
        <v>8</v>
      </c>
      <c r="Q38" s="124">
        <v>4</v>
      </c>
      <c r="R38" s="8">
        <f t="shared" si="5"/>
        <v>16</v>
      </c>
      <c r="S38" s="8">
        <f t="shared" si="5"/>
        <v>8</v>
      </c>
      <c r="T38" s="19">
        <f>IFERROR(INDEX(Settings!$F:$F, MATCH('PROJECT NAME DEC'!$B38 &amp; "-" &amp; 'PROJECT NAME DEC'!$C38, Settings!$H:$H,0)), "")</f>
        <v>106.25</v>
      </c>
      <c r="U38" s="19">
        <f>IFERROR(INDEX(Settings!$G:$G, MATCH('PROJECT NAME DEC'!$B38 &amp; "-" &amp; 'PROJECT NAME DEC'!$C38, Settings!$H:$H, 0)), "")</f>
        <v>850</v>
      </c>
      <c r="V38" s="20">
        <f t="shared" si="20"/>
        <v>2975</v>
      </c>
      <c r="W38" s="20">
        <f t="shared" si="17"/>
        <v>148.75</v>
      </c>
      <c r="X38" s="19">
        <f t="shared" si="6"/>
        <v>2826.25</v>
      </c>
      <c r="Y38" s="8">
        <v>8</v>
      </c>
      <c r="Z38" s="8">
        <v>4</v>
      </c>
      <c r="AA38" s="21">
        <v>8</v>
      </c>
      <c r="AB38" s="8">
        <v>7</v>
      </c>
      <c r="AC38" s="21">
        <v>8</v>
      </c>
      <c r="AD38" s="8">
        <v>0</v>
      </c>
      <c r="AE38" s="8">
        <v>8</v>
      </c>
      <c r="AF38" s="8">
        <v>0</v>
      </c>
      <c r="AG38" s="21"/>
      <c r="AH38" s="21"/>
      <c r="AI38" s="21"/>
      <c r="AJ38" s="21"/>
      <c r="AK38" s="21"/>
      <c r="AL38" s="21"/>
      <c r="AM38" s="44">
        <f>IFERROR(INDEX(Settings!$F:$F, MATCH('PROJECT NAME DEC'!$B38 &amp; "-" &amp; 'PROJECT NAME DEC'!$C38, Settings!$H:$H,0)), "")</f>
        <v>106.25</v>
      </c>
      <c r="AN38" s="44">
        <f>IFERROR(INDEX(Settings!$G:$G, MATCH('PROJECT NAME DEC'!$B38 &amp; "-" &amp; 'PROJECT NAME DEC'!$C38, Settings!$H:$H, 0)), "")</f>
        <v>850</v>
      </c>
      <c r="AO38" s="21">
        <f t="shared" si="7"/>
        <v>32</v>
      </c>
      <c r="AP38" s="21">
        <f t="shared" si="7"/>
        <v>11</v>
      </c>
      <c r="AQ38" s="44">
        <f t="shared" si="8"/>
        <v>4568.75</v>
      </c>
      <c r="AR38" s="44">
        <f t="shared" si="9"/>
        <v>228.4375</v>
      </c>
      <c r="AS38" s="44">
        <f t="shared" si="10"/>
        <v>4340.3125</v>
      </c>
      <c r="AT38" s="59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7"/>
      <c r="BG38" s="27"/>
      <c r="BH38" s="21"/>
      <c r="BI38" s="8">
        <f t="shared" si="11"/>
        <v>0</v>
      </c>
      <c r="BJ38" s="8">
        <f t="shared" si="11"/>
        <v>0</v>
      </c>
      <c r="BK38" s="19">
        <f>IFERROR(INDEX(Settings!$F:$F, MATCH('PROJECT NAME DEC'!$B38 &amp; "-" &amp; 'PROJECT NAME DEC'!$C38, Settings!$H:$H,0)), "")</f>
        <v>106.25</v>
      </c>
      <c r="BL38" s="19">
        <f>IFERROR(INDEX(Settings!$G:$G, MATCH('PROJECT NAME DEC'!$B38 &amp; "-" &amp; 'PROJECT NAME DEC'!$C38, Settings!$H:$H, 0)), "")</f>
        <v>850</v>
      </c>
      <c r="BM38" s="20">
        <f t="shared" si="21"/>
        <v>0</v>
      </c>
      <c r="BN38" s="20">
        <f t="shared" si="18"/>
        <v>0</v>
      </c>
      <c r="BO38" s="19">
        <f t="shared" si="12"/>
        <v>0</v>
      </c>
      <c r="BP38" s="54"/>
      <c r="BQ38" s="21"/>
      <c r="BR38" s="21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8">
        <f t="shared" si="13"/>
        <v>0</v>
      </c>
      <c r="CF38" s="8">
        <f t="shared" si="13"/>
        <v>0</v>
      </c>
      <c r="CG38" s="19">
        <f>IFERROR(INDEX(Settings!$F:$F, MATCH('PROJECT NAME DEC'!$B38 &amp; "-" &amp; 'PROJECT NAME DEC'!$C38, Settings!$H:$H,0)), "")</f>
        <v>106.25</v>
      </c>
      <c r="CH38" s="19">
        <f>IFERROR(INDEX(Settings!$G:$G, MATCH('PROJECT NAME DEC'!$B38 &amp; "-" &amp; 'PROJECT NAME DEC'!$C38, Settings!$H:$H, 0)), "")</f>
        <v>850</v>
      </c>
      <c r="CI38" s="20">
        <f t="shared" si="22"/>
        <v>0</v>
      </c>
      <c r="CJ38" s="20">
        <f t="shared" si="19"/>
        <v>0</v>
      </c>
      <c r="CK38" s="19">
        <f t="shared" si="14"/>
        <v>0</v>
      </c>
      <c r="CM38" s="3"/>
      <c r="CN38" s="3"/>
      <c r="CO38" s="3"/>
      <c r="CP38" s="3"/>
      <c r="CQ38" s="3"/>
      <c r="CR38" s="3"/>
      <c r="CS38" s="8">
        <f t="shared" si="29"/>
        <v>0</v>
      </c>
      <c r="CT38" s="8">
        <f t="shared" si="28"/>
        <v>0</v>
      </c>
      <c r="CU38" s="19">
        <f>IFERROR(INDEX(Settings!$F:$F, MATCH('PROJECT NAME DEC'!$B38 &amp; "-" &amp; 'PROJECT NAME DEC'!$C38, Settings!$H:$H,0)), "")</f>
        <v>106.25</v>
      </c>
      <c r="CV38" s="19">
        <f>IFERROR(INDEX(Settings!$G:$G, MATCH('PROJECT NAME DEC'!$B38 &amp; "-" &amp; 'PROJECT NAME DEC'!$C38, Settings!$H:$H, 0)), "")</f>
        <v>850</v>
      </c>
      <c r="CW38" s="19">
        <v>0</v>
      </c>
      <c r="CX38" s="20">
        <f t="shared" si="15"/>
        <v>0</v>
      </c>
      <c r="CY38" s="19">
        <f t="shared" si="4"/>
        <v>0</v>
      </c>
      <c r="DA38" s="162"/>
      <c r="DB38" s="158"/>
      <c r="DC38" s="158"/>
      <c r="DD38" s="158"/>
      <c r="DE38" s="159"/>
      <c r="DF38" s="159"/>
      <c r="DG38" s="158"/>
      <c r="DH38" s="152" t="str">
        <f t="shared" si="16"/>
        <v>-</v>
      </c>
    </row>
    <row r="39" spans="2:112" x14ac:dyDescent="0.3">
      <c r="B39" s="3" t="s">
        <v>65</v>
      </c>
      <c r="C39" s="1" t="s">
        <v>29</v>
      </c>
      <c r="D39" s="1" t="s">
        <v>238</v>
      </c>
      <c r="E39" s="4" t="s">
        <v>193</v>
      </c>
      <c r="F39" s="21"/>
      <c r="G39" s="21"/>
      <c r="H39" s="21"/>
      <c r="I39" s="21"/>
      <c r="J39" s="21"/>
      <c r="K39" s="21"/>
      <c r="L39" s="21"/>
      <c r="M39" s="21"/>
      <c r="N39" s="21">
        <v>8</v>
      </c>
      <c r="O39" s="21">
        <v>4</v>
      </c>
      <c r="P39" s="21">
        <v>8</v>
      </c>
      <c r="Q39" s="124">
        <v>4</v>
      </c>
      <c r="R39" s="8">
        <f t="shared" si="5"/>
        <v>16</v>
      </c>
      <c r="S39" s="8">
        <f t="shared" si="5"/>
        <v>8</v>
      </c>
      <c r="T39" s="19">
        <f>IFERROR(INDEX(Settings!$F:$F, MATCH('PROJECT NAME DEC'!$B39 &amp; "-" &amp; 'PROJECT NAME DEC'!$C39, Settings!$H:$H,0)), "")</f>
        <v>106.25</v>
      </c>
      <c r="U39" s="19">
        <f>IFERROR(INDEX(Settings!$G:$G, MATCH('PROJECT NAME DEC'!$B39 &amp; "-" &amp; 'PROJECT NAME DEC'!$C39, Settings!$H:$H, 0)), "")</f>
        <v>850</v>
      </c>
      <c r="V39" s="20">
        <f t="shared" si="20"/>
        <v>2975</v>
      </c>
      <c r="W39" s="20">
        <f t="shared" si="17"/>
        <v>148.75</v>
      </c>
      <c r="X39" s="19">
        <f t="shared" si="6"/>
        <v>2826.25</v>
      </c>
      <c r="Y39" s="8">
        <v>8</v>
      </c>
      <c r="Z39" s="8">
        <v>4</v>
      </c>
      <c r="AA39" s="21">
        <v>8</v>
      </c>
      <c r="AB39" s="8">
        <v>7</v>
      </c>
      <c r="AC39" s="21">
        <v>8</v>
      </c>
      <c r="AD39" s="8">
        <v>0</v>
      </c>
      <c r="AE39" s="8">
        <v>8</v>
      </c>
      <c r="AF39" s="8">
        <v>0</v>
      </c>
      <c r="AG39" s="21"/>
      <c r="AH39" s="21"/>
      <c r="AI39" s="21"/>
      <c r="AJ39" s="21"/>
      <c r="AK39" s="21"/>
      <c r="AL39" s="21"/>
      <c r="AM39" s="44">
        <f>IFERROR(INDEX(Settings!$F:$F, MATCH('PROJECT NAME DEC'!$B39 &amp; "-" &amp; 'PROJECT NAME DEC'!$C39, Settings!$H:$H,0)), "")</f>
        <v>106.25</v>
      </c>
      <c r="AN39" s="44">
        <f>IFERROR(INDEX(Settings!$G:$G, MATCH('PROJECT NAME DEC'!$B39 &amp; "-" &amp; 'PROJECT NAME DEC'!$C39, Settings!$H:$H, 0)), "")</f>
        <v>850</v>
      </c>
      <c r="AO39" s="21">
        <f t="shared" si="7"/>
        <v>32</v>
      </c>
      <c r="AP39" s="21">
        <f t="shared" si="7"/>
        <v>11</v>
      </c>
      <c r="AQ39" s="44">
        <f t="shared" si="8"/>
        <v>4568.75</v>
      </c>
      <c r="AR39" s="44">
        <f t="shared" si="9"/>
        <v>228.4375</v>
      </c>
      <c r="AS39" s="44">
        <f t="shared" si="10"/>
        <v>4340.3125</v>
      </c>
      <c r="AT39" s="59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7"/>
      <c r="BG39" s="27"/>
      <c r="BH39" s="21"/>
      <c r="BI39" s="8">
        <f t="shared" si="11"/>
        <v>0</v>
      </c>
      <c r="BJ39" s="8">
        <f t="shared" si="11"/>
        <v>0</v>
      </c>
      <c r="BK39" s="19">
        <f>IFERROR(INDEX(Settings!$F:$F, MATCH('PROJECT NAME DEC'!$B39 &amp; "-" &amp; 'PROJECT NAME DEC'!$C39, Settings!$H:$H,0)), "")</f>
        <v>106.25</v>
      </c>
      <c r="BL39" s="19">
        <f>IFERROR(INDEX(Settings!$G:$G, MATCH('PROJECT NAME DEC'!$B39 &amp; "-" &amp; 'PROJECT NAME DEC'!$C39, Settings!$H:$H, 0)), "")</f>
        <v>850</v>
      </c>
      <c r="BM39" s="20">
        <f t="shared" si="21"/>
        <v>0</v>
      </c>
      <c r="BN39" s="20">
        <f t="shared" si="18"/>
        <v>0</v>
      </c>
      <c r="BO39" s="19">
        <f t="shared" si="12"/>
        <v>0</v>
      </c>
      <c r="BP39" s="54"/>
      <c r="BQ39" s="21"/>
      <c r="BR39" s="21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8">
        <f t="shared" si="13"/>
        <v>0</v>
      </c>
      <c r="CF39" s="8">
        <f t="shared" si="13"/>
        <v>0</v>
      </c>
      <c r="CG39" s="19">
        <f>IFERROR(INDEX(Settings!$F:$F, MATCH('PROJECT NAME DEC'!$B39 &amp; "-" &amp; 'PROJECT NAME DEC'!$C39, Settings!$H:$H,0)), "")</f>
        <v>106.25</v>
      </c>
      <c r="CH39" s="19">
        <f>IFERROR(INDEX(Settings!$G:$G, MATCH('PROJECT NAME DEC'!$B39 &amp; "-" &amp; 'PROJECT NAME DEC'!$C39, Settings!$H:$H, 0)), "")</f>
        <v>850</v>
      </c>
      <c r="CI39" s="20">
        <f t="shared" si="22"/>
        <v>0</v>
      </c>
      <c r="CJ39" s="20">
        <f t="shared" si="19"/>
        <v>0</v>
      </c>
      <c r="CK39" s="19">
        <f t="shared" si="14"/>
        <v>0</v>
      </c>
      <c r="CM39" s="3"/>
      <c r="CN39" s="3"/>
      <c r="CO39" s="3"/>
      <c r="CP39" s="3"/>
      <c r="CQ39" s="3"/>
      <c r="CR39" s="3"/>
      <c r="CS39" s="8">
        <f t="shared" si="29"/>
        <v>0</v>
      </c>
      <c r="CT39" s="8">
        <f t="shared" si="28"/>
        <v>0</v>
      </c>
      <c r="CU39" s="19">
        <f>IFERROR(INDEX(Settings!$F:$F, MATCH('PROJECT NAME DEC'!$B39 &amp; "-" &amp; 'PROJECT NAME DEC'!$C39, Settings!$H:$H,0)), "")</f>
        <v>106.25</v>
      </c>
      <c r="CV39" s="19">
        <f>IFERROR(INDEX(Settings!$G:$G, MATCH('PROJECT NAME DEC'!$B39 &amp; "-" &amp; 'PROJECT NAME DEC'!$C39, Settings!$H:$H, 0)), "")</f>
        <v>850</v>
      </c>
      <c r="CW39" s="19">
        <v>0</v>
      </c>
      <c r="CX39" s="20">
        <f t="shared" si="15"/>
        <v>0</v>
      </c>
      <c r="CY39" s="19">
        <f t="shared" si="4"/>
        <v>0</v>
      </c>
      <c r="DA39" s="162"/>
      <c r="DB39" s="158"/>
      <c r="DC39" s="158"/>
      <c r="DD39" s="158"/>
      <c r="DE39" s="159"/>
      <c r="DF39" s="159"/>
      <c r="DG39" s="158"/>
      <c r="DH39" s="153" t="str">
        <f t="shared" si="16"/>
        <v>-</v>
      </c>
    </row>
    <row r="40" spans="2:112" x14ac:dyDescent="0.3">
      <c r="B40" s="3" t="s">
        <v>65</v>
      </c>
      <c r="C40" s="1" t="s">
        <v>29</v>
      </c>
      <c r="D40" s="1" t="s">
        <v>239</v>
      </c>
      <c r="E40" s="4" t="s">
        <v>194</v>
      </c>
      <c r="F40" s="21"/>
      <c r="G40" s="21"/>
      <c r="H40" s="21"/>
      <c r="I40" s="21"/>
      <c r="J40" s="21"/>
      <c r="K40" s="21"/>
      <c r="L40" s="21"/>
      <c r="M40" s="21"/>
      <c r="N40" s="21">
        <v>8</v>
      </c>
      <c r="O40" s="21">
        <v>4</v>
      </c>
      <c r="P40" s="21">
        <v>8</v>
      </c>
      <c r="Q40" s="124">
        <v>4</v>
      </c>
      <c r="R40" s="8">
        <f t="shared" si="5"/>
        <v>16</v>
      </c>
      <c r="S40" s="8">
        <f t="shared" si="5"/>
        <v>8</v>
      </c>
      <c r="T40" s="19">
        <f>IFERROR(INDEX(Settings!$F:$F, MATCH('PROJECT NAME DEC'!$B40 &amp; "-" &amp; 'PROJECT NAME DEC'!$C40, Settings!$H:$H,0)), "")</f>
        <v>106.25</v>
      </c>
      <c r="U40" s="19">
        <f>IFERROR(INDEX(Settings!$G:$G, MATCH('PROJECT NAME DEC'!$B40 &amp; "-" &amp; 'PROJECT NAME DEC'!$C40, Settings!$H:$H, 0)), "")</f>
        <v>850</v>
      </c>
      <c r="V40" s="20">
        <f t="shared" si="20"/>
        <v>2975</v>
      </c>
      <c r="W40" s="20">
        <f t="shared" si="17"/>
        <v>148.75</v>
      </c>
      <c r="X40" s="19">
        <f t="shared" si="6"/>
        <v>2826.25</v>
      </c>
      <c r="Y40" s="8">
        <v>8</v>
      </c>
      <c r="Z40" s="8">
        <v>4</v>
      </c>
      <c r="AA40" s="21">
        <v>8</v>
      </c>
      <c r="AB40" s="8">
        <v>7</v>
      </c>
      <c r="AC40" s="21">
        <v>8</v>
      </c>
      <c r="AD40" s="8">
        <v>0</v>
      </c>
      <c r="AE40" s="8">
        <v>8</v>
      </c>
      <c r="AF40" s="8">
        <v>0</v>
      </c>
      <c r="AG40" s="21"/>
      <c r="AH40" s="21"/>
      <c r="AI40" s="21"/>
      <c r="AJ40" s="21"/>
      <c r="AK40" s="21"/>
      <c r="AL40" s="21"/>
      <c r="AM40" s="44">
        <f>IFERROR(INDEX(Settings!$F:$F, MATCH('PROJECT NAME DEC'!$B40 &amp; "-" &amp; 'PROJECT NAME DEC'!$C40, Settings!$H:$H,0)), "")</f>
        <v>106.25</v>
      </c>
      <c r="AN40" s="44">
        <f>IFERROR(INDEX(Settings!$G:$G, MATCH('PROJECT NAME DEC'!$B40 &amp; "-" &amp; 'PROJECT NAME DEC'!$C40, Settings!$H:$H, 0)), "")</f>
        <v>850</v>
      </c>
      <c r="AO40" s="21">
        <f t="shared" si="7"/>
        <v>32</v>
      </c>
      <c r="AP40" s="21">
        <f t="shared" si="7"/>
        <v>11</v>
      </c>
      <c r="AQ40" s="44">
        <f t="shared" si="8"/>
        <v>4568.75</v>
      </c>
      <c r="AR40" s="44">
        <f t="shared" si="9"/>
        <v>228.4375</v>
      </c>
      <c r="AS40" s="44">
        <f t="shared" si="10"/>
        <v>4340.3125</v>
      </c>
      <c r="AT40" s="59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7"/>
      <c r="BG40" s="27"/>
      <c r="BH40" s="21"/>
      <c r="BI40" s="8">
        <f t="shared" si="11"/>
        <v>0</v>
      </c>
      <c r="BJ40" s="8">
        <f t="shared" si="11"/>
        <v>0</v>
      </c>
      <c r="BK40" s="19">
        <f>IFERROR(INDEX(Settings!$F:$F, MATCH('PROJECT NAME DEC'!$B40 &amp; "-" &amp; 'PROJECT NAME DEC'!$C40, Settings!$H:$H,0)), "")</f>
        <v>106.25</v>
      </c>
      <c r="BL40" s="19">
        <f>IFERROR(INDEX(Settings!$G:$G, MATCH('PROJECT NAME DEC'!$B40 &amp; "-" &amp; 'PROJECT NAME DEC'!$C40, Settings!$H:$H, 0)), "")</f>
        <v>850</v>
      </c>
      <c r="BM40" s="20">
        <f t="shared" si="21"/>
        <v>0</v>
      </c>
      <c r="BN40" s="20">
        <f t="shared" si="18"/>
        <v>0</v>
      </c>
      <c r="BO40" s="19">
        <f t="shared" si="12"/>
        <v>0</v>
      </c>
      <c r="BP40" s="54"/>
      <c r="BQ40" s="21"/>
      <c r="BR40" s="21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8">
        <f t="shared" si="13"/>
        <v>0</v>
      </c>
      <c r="CF40" s="8">
        <f t="shared" si="13"/>
        <v>0</v>
      </c>
      <c r="CG40" s="19">
        <f>IFERROR(INDEX(Settings!$F:$F, MATCH('PROJECT NAME DEC'!$B40 &amp; "-" &amp; 'PROJECT NAME DEC'!$C40, Settings!$H:$H,0)), "")</f>
        <v>106.25</v>
      </c>
      <c r="CH40" s="19">
        <f>IFERROR(INDEX(Settings!$G:$G, MATCH('PROJECT NAME DEC'!$B40 &amp; "-" &amp; 'PROJECT NAME DEC'!$C40, Settings!$H:$H, 0)), "")</f>
        <v>850</v>
      </c>
      <c r="CI40" s="20">
        <f t="shared" si="22"/>
        <v>0</v>
      </c>
      <c r="CJ40" s="20">
        <f t="shared" si="19"/>
        <v>0</v>
      </c>
      <c r="CK40" s="19">
        <f t="shared" si="14"/>
        <v>0</v>
      </c>
      <c r="CM40" s="3"/>
      <c r="CN40" s="3"/>
      <c r="CO40" s="3"/>
      <c r="CP40" s="3"/>
      <c r="CQ40" s="3"/>
      <c r="CR40" s="3"/>
      <c r="CS40" s="8">
        <f t="shared" si="29"/>
        <v>0</v>
      </c>
      <c r="CT40" s="8">
        <f t="shared" si="28"/>
        <v>0</v>
      </c>
      <c r="CU40" s="19">
        <f>IFERROR(INDEX(Settings!$F:$F, MATCH('PROJECT NAME DEC'!$B40 &amp; "-" &amp; 'PROJECT NAME DEC'!$C40, Settings!$H:$H,0)), "")</f>
        <v>106.25</v>
      </c>
      <c r="CV40" s="19">
        <f>IFERROR(INDEX(Settings!$G:$G, MATCH('PROJECT NAME DEC'!$B40 &amp; "-" &amp; 'PROJECT NAME DEC'!$C40, Settings!$H:$H, 0)), "")</f>
        <v>850</v>
      </c>
      <c r="CW40" s="19">
        <v>0</v>
      </c>
      <c r="CX40" s="20">
        <f t="shared" si="15"/>
        <v>0</v>
      </c>
      <c r="CY40" s="19">
        <f t="shared" si="4"/>
        <v>0</v>
      </c>
      <c r="DA40" s="162"/>
      <c r="DB40" s="158"/>
      <c r="DC40" s="158"/>
      <c r="DD40" s="158"/>
      <c r="DE40" s="159"/>
      <c r="DF40" s="159"/>
      <c r="DG40" s="158"/>
      <c r="DH40" s="152" t="str">
        <f t="shared" si="16"/>
        <v>-</v>
      </c>
    </row>
    <row r="41" spans="2:112" x14ac:dyDescent="0.3">
      <c r="B41" s="3" t="s">
        <v>65</v>
      </c>
      <c r="C41" s="1" t="s">
        <v>29</v>
      </c>
      <c r="D41" s="1" t="s">
        <v>240</v>
      </c>
      <c r="E41" s="4" t="s">
        <v>208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>
        <v>8</v>
      </c>
      <c r="Q41" s="124">
        <v>4</v>
      </c>
      <c r="R41" s="8">
        <f t="shared" si="5"/>
        <v>8</v>
      </c>
      <c r="S41" s="8">
        <f t="shared" si="5"/>
        <v>4</v>
      </c>
      <c r="T41" s="19">
        <f>IFERROR(INDEX(Settings!$F:$F, MATCH('PROJECT NAME DEC'!$B41 &amp; "-" &amp; 'PROJECT NAME DEC'!$C41, Settings!$H:$H,0)), "")</f>
        <v>106.25</v>
      </c>
      <c r="U41" s="19">
        <f>IFERROR(INDEX(Settings!$G:$G, MATCH('PROJECT NAME DEC'!$B41 &amp; "-" &amp; 'PROJECT NAME DEC'!$C41, Settings!$H:$H, 0)), "")</f>
        <v>850</v>
      </c>
      <c r="V41" s="20">
        <f t="shared" si="20"/>
        <v>1487.5</v>
      </c>
      <c r="W41" s="20">
        <f t="shared" si="17"/>
        <v>74.375</v>
      </c>
      <c r="X41" s="19">
        <f t="shared" si="6"/>
        <v>1413.125</v>
      </c>
      <c r="Y41" s="8">
        <v>8</v>
      </c>
      <c r="Z41" s="8">
        <v>4</v>
      </c>
      <c r="AA41" s="21">
        <v>8</v>
      </c>
      <c r="AB41" s="8">
        <v>7</v>
      </c>
      <c r="AC41" s="21">
        <v>8</v>
      </c>
      <c r="AD41" s="8">
        <v>0</v>
      </c>
      <c r="AE41" s="8">
        <v>8</v>
      </c>
      <c r="AF41" s="8">
        <v>0</v>
      </c>
      <c r="AG41" s="21"/>
      <c r="AH41" s="21"/>
      <c r="AI41" s="21"/>
      <c r="AJ41" s="21"/>
      <c r="AK41" s="21"/>
      <c r="AL41" s="21"/>
      <c r="AM41" s="44">
        <f>IFERROR(INDEX(Settings!$F:$F, MATCH('PROJECT NAME DEC'!$B41 &amp; "-" &amp; 'PROJECT NAME DEC'!$C41, Settings!$H:$H,0)), "")</f>
        <v>106.25</v>
      </c>
      <c r="AN41" s="44">
        <f>IFERROR(INDEX(Settings!$G:$G, MATCH('PROJECT NAME DEC'!$B41 &amp; "-" &amp; 'PROJECT NAME DEC'!$C41, Settings!$H:$H, 0)), "")</f>
        <v>850</v>
      </c>
      <c r="AO41" s="21">
        <f t="shared" si="7"/>
        <v>32</v>
      </c>
      <c r="AP41" s="21">
        <f t="shared" si="7"/>
        <v>11</v>
      </c>
      <c r="AQ41" s="44">
        <f t="shared" si="8"/>
        <v>4568.75</v>
      </c>
      <c r="AR41" s="44">
        <f t="shared" si="9"/>
        <v>228.4375</v>
      </c>
      <c r="AS41" s="44">
        <f t="shared" si="10"/>
        <v>4340.3125</v>
      </c>
      <c r="AT41" s="59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7"/>
      <c r="BG41" s="27"/>
      <c r="BH41" s="21"/>
      <c r="BI41" s="8">
        <f t="shared" si="11"/>
        <v>0</v>
      </c>
      <c r="BJ41" s="8">
        <f t="shared" si="11"/>
        <v>0</v>
      </c>
      <c r="BK41" s="19">
        <f>IFERROR(INDEX(Settings!$F:$F, MATCH('PROJECT NAME DEC'!$B41 &amp; "-" &amp; 'PROJECT NAME DEC'!$C41, Settings!$H:$H,0)), "")</f>
        <v>106.25</v>
      </c>
      <c r="BL41" s="19">
        <f>IFERROR(INDEX(Settings!$G:$G, MATCH('PROJECT NAME DEC'!$B41 &amp; "-" &amp; 'PROJECT NAME DEC'!$C41, Settings!$H:$H, 0)), "")</f>
        <v>850</v>
      </c>
      <c r="BM41" s="20">
        <f t="shared" si="21"/>
        <v>0</v>
      </c>
      <c r="BN41" s="20">
        <f t="shared" si="18"/>
        <v>0</v>
      </c>
      <c r="BO41" s="19">
        <f t="shared" si="12"/>
        <v>0</v>
      </c>
      <c r="BP41" s="54"/>
      <c r="BQ41" s="21"/>
      <c r="BR41" s="21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8">
        <f t="shared" si="13"/>
        <v>0</v>
      </c>
      <c r="CF41" s="8">
        <f t="shared" si="13"/>
        <v>0</v>
      </c>
      <c r="CG41" s="19">
        <f>IFERROR(INDEX(Settings!$F:$F, MATCH('PROJECT NAME DEC'!$B41 &amp; "-" &amp; 'PROJECT NAME DEC'!$C41, Settings!$H:$H,0)), "")</f>
        <v>106.25</v>
      </c>
      <c r="CH41" s="19">
        <f>IFERROR(INDEX(Settings!$G:$G, MATCH('PROJECT NAME DEC'!$B41 &amp; "-" &amp; 'PROJECT NAME DEC'!$C41, Settings!$H:$H, 0)), "")</f>
        <v>850</v>
      </c>
      <c r="CI41" s="20">
        <f t="shared" si="22"/>
        <v>0</v>
      </c>
      <c r="CJ41" s="20">
        <f t="shared" si="19"/>
        <v>0</v>
      </c>
      <c r="CK41" s="19">
        <f t="shared" si="14"/>
        <v>0</v>
      </c>
      <c r="CM41" s="3"/>
      <c r="CN41" s="3"/>
      <c r="CO41" s="3"/>
      <c r="CP41" s="3"/>
      <c r="CQ41" s="3"/>
      <c r="CR41" s="3"/>
      <c r="CS41" s="8">
        <f t="shared" si="29"/>
        <v>0</v>
      </c>
      <c r="CT41" s="8">
        <f t="shared" si="28"/>
        <v>0</v>
      </c>
      <c r="CU41" s="19">
        <f>IFERROR(INDEX(Settings!$F:$F, MATCH('PROJECT NAME DEC'!$B41 &amp; "-" &amp; 'PROJECT NAME DEC'!$C41, Settings!$H:$H,0)), "")</f>
        <v>106.25</v>
      </c>
      <c r="CV41" s="19">
        <f>IFERROR(INDEX(Settings!$G:$G, MATCH('PROJECT NAME DEC'!$B41 &amp; "-" &amp; 'PROJECT NAME DEC'!$C41, Settings!$H:$H, 0)), "")</f>
        <v>850</v>
      </c>
      <c r="CW41" s="19">
        <v>0</v>
      </c>
      <c r="CX41" s="20">
        <f t="shared" si="15"/>
        <v>0</v>
      </c>
      <c r="CY41" s="19">
        <f t="shared" si="4"/>
        <v>0</v>
      </c>
      <c r="DA41" s="162"/>
      <c r="DB41" s="158"/>
      <c r="DC41" s="158"/>
      <c r="DD41" s="158"/>
      <c r="DE41" s="159"/>
      <c r="DF41" s="159"/>
      <c r="DG41" s="158"/>
      <c r="DH41" s="153" t="str">
        <f t="shared" si="16"/>
        <v>-</v>
      </c>
    </row>
    <row r="42" spans="2:112" x14ac:dyDescent="0.3">
      <c r="B42" s="3" t="s">
        <v>65</v>
      </c>
      <c r="C42" s="1" t="s">
        <v>29</v>
      </c>
      <c r="D42" s="1" t="s">
        <v>241</v>
      </c>
      <c r="E42" s="4" t="s">
        <v>196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>
        <v>8</v>
      </c>
      <c r="Q42" s="124">
        <v>4</v>
      </c>
      <c r="R42" s="8">
        <f t="shared" si="5"/>
        <v>8</v>
      </c>
      <c r="S42" s="8">
        <f t="shared" si="5"/>
        <v>4</v>
      </c>
      <c r="T42" s="19">
        <f>IFERROR(INDEX(Settings!$F:$F, MATCH('PROJECT NAME DEC'!$B42 &amp; "-" &amp; 'PROJECT NAME DEC'!$C42, Settings!$H:$H,0)), "")</f>
        <v>106.25</v>
      </c>
      <c r="U42" s="19">
        <f>IFERROR(INDEX(Settings!$G:$G, MATCH('PROJECT NAME DEC'!$B42 &amp; "-" &amp; 'PROJECT NAME DEC'!$C42, Settings!$H:$H, 0)), "")</f>
        <v>850</v>
      </c>
      <c r="V42" s="20">
        <f t="shared" si="20"/>
        <v>1487.5</v>
      </c>
      <c r="W42" s="20">
        <f t="shared" si="17"/>
        <v>74.375</v>
      </c>
      <c r="X42" s="19">
        <f t="shared" si="6"/>
        <v>1413.125</v>
      </c>
      <c r="Y42" s="8">
        <v>8</v>
      </c>
      <c r="Z42" s="8">
        <v>4</v>
      </c>
      <c r="AA42" s="21">
        <v>8</v>
      </c>
      <c r="AB42" s="8">
        <v>7</v>
      </c>
      <c r="AC42" s="21">
        <v>8</v>
      </c>
      <c r="AD42" s="8">
        <v>0</v>
      </c>
      <c r="AE42" s="8">
        <v>8</v>
      </c>
      <c r="AF42" s="8">
        <v>0</v>
      </c>
      <c r="AG42" s="21"/>
      <c r="AH42" s="21"/>
      <c r="AI42" s="21"/>
      <c r="AJ42" s="21"/>
      <c r="AK42" s="21"/>
      <c r="AL42" s="21"/>
      <c r="AM42" s="44">
        <f>IFERROR(INDEX(Settings!$F:$F, MATCH('PROJECT NAME DEC'!$B42 &amp; "-" &amp; 'PROJECT NAME DEC'!$C42, Settings!$H:$H,0)), "")</f>
        <v>106.25</v>
      </c>
      <c r="AN42" s="44">
        <f>IFERROR(INDEX(Settings!$G:$G, MATCH('PROJECT NAME DEC'!$B42 &amp; "-" &amp; 'PROJECT NAME DEC'!$C42, Settings!$H:$H, 0)), "")</f>
        <v>850</v>
      </c>
      <c r="AO42" s="21">
        <f t="shared" si="7"/>
        <v>32</v>
      </c>
      <c r="AP42" s="21">
        <f t="shared" si="7"/>
        <v>11</v>
      </c>
      <c r="AQ42" s="44">
        <f t="shared" si="8"/>
        <v>4568.75</v>
      </c>
      <c r="AR42" s="44">
        <f t="shared" si="9"/>
        <v>228.4375</v>
      </c>
      <c r="AS42" s="44">
        <f t="shared" si="10"/>
        <v>4340.3125</v>
      </c>
      <c r="AT42" s="59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7"/>
      <c r="BG42" s="27"/>
      <c r="BH42" s="21"/>
      <c r="BI42" s="8">
        <f t="shared" si="11"/>
        <v>0</v>
      </c>
      <c r="BJ42" s="8">
        <f t="shared" si="11"/>
        <v>0</v>
      </c>
      <c r="BK42" s="19">
        <f>IFERROR(INDEX(Settings!$F:$F, MATCH('PROJECT NAME DEC'!$B42 &amp; "-" &amp; 'PROJECT NAME DEC'!$C42, Settings!$H:$H,0)), "")</f>
        <v>106.25</v>
      </c>
      <c r="BL42" s="19">
        <f>IFERROR(INDEX(Settings!$G:$G, MATCH('PROJECT NAME DEC'!$B42 &amp; "-" &amp; 'PROJECT NAME DEC'!$C42, Settings!$H:$H, 0)), "")</f>
        <v>850</v>
      </c>
      <c r="BM42" s="20">
        <f t="shared" si="21"/>
        <v>0</v>
      </c>
      <c r="BN42" s="20">
        <f t="shared" si="18"/>
        <v>0</v>
      </c>
      <c r="BO42" s="19">
        <f t="shared" si="12"/>
        <v>0</v>
      </c>
      <c r="BP42" s="54"/>
      <c r="BQ42" s="21"/>
      <c r="BR42" s="21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8">
        <f t="shared" si="13"/>
        <v>0</v>
      </c>
      <c r="CF42" s="8">
        <f t="shared" si="13"/>
        <v>0</v>
      </c>
      <c r="CG42" s="19">
        <f>IFERROR(INDEX(Settings!$F:$F, MATCH('PROJECT NAME DEC'!$B42 &amp; "-" &amp; 'PROJECT NAME DEC'!$C42, Settings!$H:$H,0)), "")</f>
        <v>106.25</v>
      </c>
      <c r="CH42" s="19">
        <f>IFERROR(INDEX(Settings!$G:$G, MATCH('PROJECT NAME DEC'!$B42 &amp; "-" &amp; 'PROJECT NAME DEC'!$C42, Settings!$H:$H, 0)), "")</f>
        <v>850</v>
      </c>
      <c r="CI42" s="20">
        <f t="shared" si="22"/>
        <v>0</v>
      </c>
      <c r="CJ42" s="20">
        <f t="shared" si="19"/>
        <v>0</v>
      </c>
      <c r="CK42" s="19">
        <f t="shared" si="14"/>
        <v>0</v>
      </c>
      <c r="CM42" s="3"/>
      <c r="CN42" s="3"/>
      <c r="CO42" s="3"/>
      <c r="CP42" s="3"/>
      <c r="CQ42" s="3"/>
      <c r="CR42" s="3"/>
      <c r="CS42" s="8">
        <f t="shared" si="29"/>
        <v>0</v>
      </c>
      <c r="CT42" s="8">
        <f t="shared" si="28"/>
        <v>0</v>
      </c>
      <c r="CU42" s="19">
        <f>IFERROR(INDEX(Settings!$F:$F, MATCH('PROJECT NAME DEC'!$B42 &amp; "-" &amp; 'PROJECT NAME DEC'!$C42, Settings!$H:$H,0)), "")</f>
        <v>106.25</v>
      </c>
      <c r="CV42" s="19">
        <f>IFERROR(INDEX(Settings!$G:$G, MATCH('PROJECT NAME DEC'!$B42 &amp; "-" &amp; 'PROJECT NAME DEC'!$C42, Settings!$H:$H, 0)), "")</f>
        <v>850</v>
      </c>
      <c r="CW42" s="19">
        <v>0</v>
      </c>
      <c r="CX42" s="20">
        <f t="shared" si="15"/>
        <v>0</v>
      </c>
      <c r="CY42" s="19">
        <f t="shared" si="4"/>
        <v>0</v>
      </c>
      <c r="DA42" s="162"/>
      <c r="DB42" s="158"/>
      <c r="DC42" s="158"/>
      <c r="DD42" s="158"/>
      <c r="DE42" s="159"/>
      <c r="DF42" s="159"/>
      <c r="DG42" s="158"/>
      <c r="DH42" s="152" t="str">
        <f t="shared" si="16"/>
        <v>-</v>
      </c>
    </row>
    <row r="43" spans="2:112" x14ac:dyDescent="0.3">
      <c r="B43" s="3" t="s">
        <v>65</v>
      </c>
      <c r="C43" s="1" t="s">
        <v>29</v>
      </c>
      <c r="D43" s="1" t="s">
        <v>242</v>
      </c>
      <c r="E43" s="4" t="s">
        <v>198</v>
      </c>
      <c r="F43" s="21"/>
      <c r="G43" s="21"/>
      <c r="H43" s="21"/>
      <c r="I43" s="21"/>
      <c r="J43" s="21"/>
      <c r="K43" s="21"/>
      <c r="L43" s="21">
        <v>8</v>
      </c>
      <c r="M43" s="21">
        <v>0</v>
      </c>
      <c r="N43" s="21">
        <v>8</v>
      </c>
      <c r="O43" s="21">
        <v>0</v>
      </c>
      <c r="P43" s="21">
        <v>8</v>
      </c>
      <c r="Q43" s="21">
        <v>0</v>
      </c>
      <c r="R43" s="8">
        <f t="shared" si="5"/>
        <v>24</v>
      </c>
      <c r="S43" s="8">
        <f t="shared" si="5"/>
        <v>0</v>
      </c>
      <c r="T43" s="19">
        <f>IFERROR(INDEX(Settings!$F:$F, MATCH('PROJECT NAME DEC'!$B43 &amp; "-" &amp; 'PROJECT NAME DEC'!$C43, Settings!$H:$H,0)), "")</f>
        <v>106.25</v>
      </c>
      <c r="U43" s="19">
        <f>IFERROR(INDEX(Settings!$G:$G, MATCH('PROJECT NAME DEC'!$B43 &amp; "-" &amp; 'PROJECT NAME DEC'!$C43, Settings!$H:$H, 0)), "")</f>
        <v>850</v>
      </c>
      <c r="V43" s="20">
        <f t="shared" si="20"/>
        <v>2550</v>
      </c>
      <c r="W43" s="20">
        <f t="shared" si="17"/>
        <v>127.5</v>
      </c>
      <c r="X43" s="19">
        <f t="shared" si="6"/>
        <v>2422.5</v>
      </c>
      <c r="Y43" s="8">
        <v>8</v>
      </c>
      <c r="Z43" s="8">
        <v>0</v>
      </c>
      <c r="AA43" s="21">
        <v>8</v>
      </c>
      <c r="AB43" s="8">
        <v>0</v>
      </c>
      <c r="AC43" s="21">
        <v>8</v>
      </c>
      <c r="AD43" s="8">
        <v>0</v>
      </c>
      <c r="AE43" s="8">
        <v>8</v>
      </c>
      <c r="AF43" s="8">
        <v>0</v>
      </c>
      <c r="AG43" s="21"/>
      <c r="AH43" s="21">
        <v>0</v>
      </c>
      <c r="AI43" s="21"/>
      <c r="AJ43" s="21">
        <v>0</v>
      </c>
      <c r="AK43" s="21"/>
      <c r="AL43" s="21">
        <v>0</v>
      </c>
      <c r="AM43" s="44">
        <f>IFERROR(INDEX(Settings!$F:$F, MATCH('PROJECT NAME DEC'!$B43 &amp; "-" &amp; 'PROJECT NAME DEC'!$C43, Settings!$H:$H,0)), "")</f>
        <v>106.25</v>
      </c>
      <c r="AN43" s="44">
        <f>IFERROR(INDEX(Settings!$G:$G, MATCH('PROJECT NAME DEC'!$B43 &amp; "-" &amp; 'PROJECT NAME DEC'!$C43, Settings!$H:$H, 0)), "")</f>
        <v>850</v>
      </c>
      <c r="AO43" s="21">
        <f t="shared" si="7"/>
        <v>32</v>
      </c>
      <c r="AP43" s="21">
        <f t="shared" si="7"/>
        <v>0</v>
      </c>
      <c r="AQ43" s="44">
        <f t="shared" si="8"/>
        <v>3400</v>
      </c>
      <c r="AR43" s="44">
        <f t="shared" si="9"/>
        <v>170</v>
      </c>
      <c r="AS43" s="44">
        <f t="shared" si="10"/>
        <v>3230</v>
      </c>
      <c r="AT43" s="59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7"/>
      <c r="BG43" s="27"/>
      <c r="BH43" s="21"/>
      <c r="BI43" s="8">
        <f t="shared" si="11"/>
        <v>0</v>
      </c>
      <c r="BJ43" s="8">
        <f t="shared" si="11"/>
        <v>0</v>
      </c>
      <c r="BK43" s="19">
        <f>IFERROR(INDEX(Settings!$F:$F, MATCH('PROJECT NAME DEC'!$B43 &amp; "-" &amp; 'PROJECT NAME DEC'!$C43, Settings!$H:$H,0)), "")</f>
        <v>106.25</v>
      </c>
      <c r="BL43" s="19">
        <f>IFERROR(INDEX(Settings!$G:$G, MATCH('PROJECT NAME DEC'!$B43 &amp; "-" &amp; 'PROJECT NAME DEC'!$C43, Settings!$H:$H, 0)), "")</f>
        <v>850</v>
      </c>
      <c r="BM43" s="20">
        <f t="shared" si="21"/>
        <v>0</v>
      </c>
      <c r="BN43" s="20">
        <f t="shared" si="18"/>
        <v>0</v>
      </c>
      <c r="BO43" s="19">
        <f t="shared" si="12"/>
        <v>0</v>
      </c>
      <c r="BP43" s="54"/>
      <c r="BQ43" s="21"/>
      <c r="BR43" s="21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8">
        <f t="shared" si="13"/>
        <v>0</v>
      </c>
      <c r="CF43" s="8">
        <f t="shared" si="13"/>
        <v>0</v>
      </c>
      <c r="CG43" s="19">
        <f>IFERROR(INDEX(Settings!$F:$F, MATCH('PROJECT NAME DEC'!$B43 &amp; "-" &amp; 'PROJECT NAME DEC'!$C43, Settings!$H:$H,0)), "")</f>
        <v>106.25</v>
      </c>
      <c r="CH43" s="19">
        <f>IFERROR(INDEX(Settings!$G:$G, MATCH('PROJECT NAME DEC'!$B43 &amp; "-" &amp; 'PROJECT NAME DEC'!$C43, Settings!$H:$H, 0)), "")</f>
        <v>850</v>
      </c>
      <c r="CI43" s="20">
        <f t="shared" si="22"/>
        <v>0</v>
      </c>
      <c r="CJ43" s="20">
        <f t="shared" si="19"/>
        <v>0</v>
      </c>
      <c r="CK43" s="19">
        <f t="shared" si="14"/>
        <v>0</v>
      </c>
      <c r="CM43" s="3"/>
      <c r="CN43" s="3"/>
      <c r="CO43" s="3"/>
      <c r="CP43" s="3"/>
      <c r="CQ43" s="3"/>
      <c r="CR43" s="3"/>
      <c r="CS43" s="8">
        <f t="shared" si="29"/>
        <v>0</v>
      </c>
      <c r="CT43" s="8">
        <f t="shared" si="28"/>
        <v>0</v>
      </c>
      <c r="CU43" s="19">
        <f>IFERROR(INDEX(Settings!$F:$F, MATCH('PROJECT NAME DEC'!$B43 &amp; "-" &amp; 'PROJECT NAME DEC'!$C43, Settings!$H:$H,0)), "")</f>
        <v>106.25</v>
      </c>
      <c r="CV43" s="19">
        <f>IFERROR(INDEX(Settings!$G:$G, MATCH('PROJECT NAME DEC'!$B43 &amp; "-" &amp; 'PROJECT NAME DEC'!$C43, Settings!$H:$H, 0)), "")</f>
        <v>850</v>
      </c>
      <c r="CW43" s="19">
        <v>0</v>
      </c>
      <c r="CX43" s="20">
        <f t="shared" si="15"/>
        <v>0</v>
      </c>
      <c r="CY43" s="19">
        <f t="shared" si="4"/>
        <v>0</v>
      </c>
      <c r="DA43" s="162"/>
      <c r="DB43" s="158"/>
      <c r="DC43" s="158"/>
      <c r="DD43" s="158"/>
      <c r="DE43" s="159"/>
      <c r="DF43" s="159"/>
      <c r="DG43" s="158"/>
      <c r="DH43" s="153" t="str">
        <f t="shared" si="16"/>
        <v>-</v>
      </c>
    </row>
    <row r="44" spans="2:112" x14ac:dyDescent="0.3">
      <c r="B44" s="3" t="s">
        <v>65</v>
      </c>
      <c r="C44" s="1" t="s">
        <v>29</v>
      </c>
      <c r="D44" s="1" t="s">
        <v>243</v>
      </c>
      <c r="E44" s="4" t="s">
        <v>212</v>
      </c>
      <c r="F44" s="21"/>
      <c r="G44" s="21"/>
      <c r="H44" s="21"/>
      <c r="I44" s="21"/>
      <c r="J44" s="21"/>
      <c r="K44" s="21"/>
      <c r="L44" s="21">
        <v>8</v>
      </c>
      <c r="M44" s="21">
        <v>0</v>
      </c>
      <c r="N44" s="21">
        <v>8</v>
      </c>
      <c r="O44" s="21">
        <v>0</v>
      </c>
      <c r="P44" s="21">
        <v>8</v>
      </c>
      <c r="Q44" s="21">
        <v>0</v>
      </c>
      <c r="R44" s="8">
        <f t="shared" si="5"/>
        <v>24</v>
      </c>
      <c r="S44" s="8">
        <f t="shared" si="5"/>
        <v>0</v>
      </c>
      <c r="T44" s="19">
        <f>IFERROR(INDEX(Settings!$F:$F, MATCH('PROJECT NAME DEC'!$B44 &amp; "-" &amp; 'PROJECT NAME DEC'!$C44, Settings!$H:$H,0)), "")</f>
        <v>106.25</v>
      </c>
      <c r="U44" s="19">
        <f>IFERROR(INDEX(Settings!$G:$G, MATCH('PROJECT NAME DEC'!$B44 &amp; "-" &amp; 'PROJECT NAME DEC'!$C44, Settings!$H:$H, 0)), "")</f>
        <v>850</v>
      </c>
      <c r="V44" s="20">
        <f t="shared" si="20"/>
        <v>2550</v>
      </c>
      <c r="W44" s="20">
        <f t="shared" si="17"/>
        <v>127.5</v>
      </c>
      <c r="X44" s="19">
        <f t="shared" si="6"/>
        <v>2422.5</v>
      </c>
      <c r="Y44" s="8">
        <v>8</v>
      </c>
      <c r="Z44" s="8">
        <v>0</v>
      </c>
      <c r="AA44" s="21">
        <v>8</v>
      </c>
      <c r="AB44" s="8">
        <v>0</v>
      </c>
      <c r="AC44" s="21">
        <v>8</v>
      </c>
      <c r="AD44" s="8">
        <v>0</v>
      </c>
      <c r="AE44" s="8">
        <v>8</v>
      </c>
      <c r="AF44" s="8">
        <v>0</v>
      </c>
      <c r="AG44" s="21"/>
      <c r="AH44" s="21">
        <v>0</v>
      </c>
      <c r="AI44" s="21"/>
      <c r="AJ44" s="21">
        <v>0</v>
      </c>
      <c r="AK44" s="21"/>
      <c r="AL44" s="21">
        <v>0</v>
      </c>
      <c r="AM44" s="44">
        <f>IFERROR(INDEX(Settings!$F:$F, MATCH('PROJECT NAME DEC'!$B44 &amp; "-" &amp; 'PROJECT NAME DEC'!$C44, Settings!$H:$H,0)), "")</f>
        <v>106.25</v>
      </c>
      <c r="AN44" s="44">
        <f>IFERROR(INDEX(Settings!$G:$G, MATCH('PROJECT NAME DEC'!$B44 &amp; "-" &amp; 'PROJECT NAME DEC'!$C44, Settings!$H:$H, 0)), "")</f>
        <v>850</v>
      </c>
      <c r="AO44" s="21">
        <f t="shared" si="7"/>
        <v>32</v>
      </c>
      <c r="AP44" s="21">
        <f t="shared" si="7"/>
        <v>0</v>
      </c>
      <c r="AQ44" s="44">
        <f t="shared" si="8"/>
        <v>3400</v>
      </c>
      <c r="AR44" s="44">
        <f t="shared" si="9"/>
        <v>170</v>
      </c>
      <c r="AS44" s="44">
        <f t="shared" si="10"/>
        <v>3230</v>
      </c>
      <c r="AT44" s="59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7"/>
      <c r="BG44" s="27"/>
      <c r="BH44" s="21"/>
      <c r="BI44" s="8">
        <f t="shared" si="11"/>
        <v>0</v>
      </c>
      <c r="BJ44" s="8">
        <f t="shared" si="11"/>
        <v>0</v>
      </c>
      <c r="BK44" s="19">
        <f>IFERROR(INDEX(Settings!$F:$F, MATCH('PROJECT NAME DEC'!$B44 &amp; "-" &amp; 'PROJECT NAME DEC'!$C44, Settings!$H:$H,0)), "")</f>
        <v>106.25</v>
      </c>
      <c r="BL44" s="19">
        <f>IFERROR(INDEX(Settings!$G:$G, MATCH('PROJECT NAME DEC'!$B44 &amp; "-" &amp; 'PROJECT NAME DEC'!$C44, Settings!$H:$H, 0)), "")</f>
        <v>850</v>
      </c>
      <c r="BM44" s="20">
        <f t="shared" si="21"/>
        <v>0</v>
      </c>
      <c r="BN44" s="20">
        <f t="shared" si="18"/>
        <v>0</v>
      </c>
      <c r="BO44" s="19">
        <f t="shared" si="12"/>
        <v>0</v>
      </c>
      <c r="BP44" s="54"/>
      <c r="BQ44" s="21"/>
      <c r="BR44" s="21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8">
        <f t="shared" si="13"/>
        <v>0</v>
      </c>
      <c r="CF44" s="8">
        <f t="shared" si="13"/>
        <v>0</v>
      </c>
      <c r="CG44" s="19">
        <f>IFERROR(INDEX(Settings!$F:$F, MATCH('PROJECT NAME DEC'!$B44 &amp; "-" &amp; 'PROJECT NAME DEC'!$C44, Settings!$H:$H,0)), "")</f>
        <v>106.25</v>
      </c>
      <c r="CH44" s="19">
        <f>IFERROR(INDEX(Settings!$G:$G, MATCH('PROJECT NAME DEC'!$B44 &amp; "-" &amp; 'PROJECT NAME DEC'!$C44, Settings!$H:$H, 0)), "")</f>
        <v>850</v>
      </c>
      <c r="CI44" s="20">
        <f t="shared" si="22"/>
        <v>0</v>
      </c>
      <c r="CJ44" s="20">
        <f t="shared" si="19"/>
        <v>0</v>
      </c>
      <c r="CK44" s="19">
        <f t="shared" si="14"/>
        <v>0</v>
      </c>
      <c r="CM44" s="3"/>
      <c r="CN44" s="3"/>
      <c r="CO44" s="3"/>
      <c r="CP44" s="3"/>
      <c r="CQ44" s="3"/>
      <c r="CR44" s="3"/>
      <c r="CS44" s="8">
        <f t="shared" si="29"/>
        <v>0</v>
      </c>
      <c r="CT44" s="8">
        <f t="shared" si="28"/>
        <v>0</v>
      </c>
      <c r="CU44" s="19">
        <f>IFERROR(INDEX(Settings!$F:$F, MATCH('PROJECT NAME DEC'!$B44 &amp; "-" &amp; 'PROJECT NAME DEC'!$C44, Settings!$H:$H,0)), "")</f>
        <v>106.25</v>
      </c>
      <c r="CV44" s="19">
        <f>IFERROR(INDEX(Settings!$G:$G, MATCH('PROJECT NAME DEC'!$B44 &amp; "-" &amp; 'PROJECT NAME DEC'!$C44, Settings!$H:$H, 0)), "")</f>
        <v>850</v>
      </c>
      <c r="CW44" s="19">
        <v>0</v>
      </c>
      <c r="CX44" s="20">
        <f t="shared" si="15"/>
        <v>0</v>
      </c>
      <c r="CY44" s="19">
        <f t="shared" si="4"/>
        <v>0</v>
      </c>
      <c r="DA44" s="162"/>
      <c r="DB44" s="158"/>
      <c r="DC44" s="158"/>
      <c r="DD44" s="158"/>
      <c r="DE44" s="159"/>
      <c r="DF44" s="159"/>
      <c r="DG44" s="158"/>
      <c r="DH44" s="152" t="str">
        <f t="shared" si="16"/>
        <v>-</v>
      </c>
    </row>
    <row r="45" spans="2:112" x14ac:dyDescent="0.3">
      <c r="B45" s="3" t="s">
        <v>65</v>
      </c>
      <c r="C45" s="1" t="s">
        <v>29</v>
      </c>
      <c r="D45" s="1" t="s">
        <v>244</v>
      </c>
      <c r="E45" s="4" t="s">
        <v>209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>
        <v>8</v>
      </c>
      <c r="Q45" s="21"/>
      <c r="R45" s="8">
        <f t="shared" si="5"/>
        <v>8</v>
      </c>
      <c r="S45" s="8">
        <f t="shared" si="5"/>
        <v>0</v>
      </c>
      <c r="T45" s="19">
        <f>IFERROR(INDEX(Settings!$F:$F, MATCH('PROJECT NAME DEC'!$B45 &amp; "-" &amp; 'PROJECT NAME DEC'!$C45, Settings!$H:$H,0)), "")</f>
        <v>106.25</v>
      </c>
      <c r="U45" s="19">
        <f>IFERROR(INDEX(Settings!$G:$G, MATCH('PROJECT NAME DEC'!$B45 &amp; "-" &amp; 'PROJECT NAME DEC'!$C45, Settings!$H:$H, 0)), "")</f>
        <v>850</v>
      </c>
      <c r="V45" s="20">
        <f t="shared" si="20"/>
        <v>850</v>
      </c>
      <c r="W45" s="20">
        <f t="shared" si="17"/>
        <v>42.5</v>
      </c>
      <c r="X45" s="19">
        <f t="shared" si="6"/>
        <v>807.5</v>
      </c>
      <c r="Y45" s="8">
        <v>8</v>
      </c>
      <c r="Z45" s="8">
        <v>4</v>
      </c>
      <c r="AA45" s="21">
        <v>8</v>
      </c>
      <c r="AB45" s="8">
        <v>7</v>
      </c>
      <c r="AC45" s="21">
        <v>8</v>
      </c>
      <c r="AD45" s="8">
        <v>0</v>
      </c>
      <c r="AE45" s="8">
        <v>8</v>
      </c>
      <c r="AF45" s="8">
        <v>0</v>
      </c>
      <c r="AG45" s="21"/>
      <c r="AH45" s="21"/>
      <c r="AI45" s="21"/>
      <c r="AJ45" s="21"/>
      <c r="AK45" s="21"/>
      <c r="AL45" s="21"/>
      <c r="AM45" s="44">
        <f>IFERROR(INDEX(Settings!$F:$F, MATCH('PROJECT NAME DEC'!$B45 &amp; "-" &amp; 'PROJECT NAME DEC'!$C45, Settings!$H:$H,0)), "")</f>
        <v>106.25</v>
      </c>
      <c r="AN45" s="44">
        <f>IFERROR(INDEX(Settings!$G:$G, MATCH('PROJECT NAME DEC'!$B45 &amp; "-" &amp; 'PROJECT NAME DEC'!$C45, Settings!$H:$H, 0)), "")</f>
        <v>850</v>
      </c>
      <c r="AO45" s="21">
        <f t="shared" si="7"/>
        <v>32</v>
      </c>
      <c r="AP45" s="21">
        <f t="shared" si="7"/>
        <v>11</v>
      </c>
      <c r="AQ45" s="44">
        <f t="shared" si="8"/>
        <v>4568.75</v>
      </c>
      <c r="AR45" s="44">
        <f t="shared" si="9"/>
        <v>228.4375</v>
      </c>
      <c r="AS45" s="44">
        <f t="shared" si="10"/>
        <v>4340.3125</v>
      </c>
      <c r="AT45" s="59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7"/>
      <c r="BG45" s="27"/>
      <c r="BH45" s="21"/>
      <c r="BI45" s="8">
        <f t="shared" si="11"/>
        <v>0</v>
      </c>
      <c r="BJ45" s="8">
        <f t="shared" si="11"/>
        <v>0</v>
      </c>
      <c r="BK45" s="19">
        <f>IFERROR(INDEX(Settings!$F:$F, MATCH('PROJECT NAME DEC'!$B45 &amp; "-" &amp; 'PROJECT NAME DEC'!$C45, Settings!$H:$H,0)), "")</f>
        <v>106.25</v>
      </c>
      <c r="BL45" s="19">
        <f>IFERROR(INDEX(Settings!$G:$G, MATCH('PROJECT NAME DEC'!$B45 &amp; "-" &amp; 'PROJECT NAME DEC'!$C45, Settings!$H:$H, 0)), "")</f>
        <v>850</v>
      </c>
      <c r="BM45" s="20">
        <f t="shared" si="21"/>
        <v>0</v>
      </c>
      <c r="BN45" s="20">
        <f t="shared" si="18"/>
        <v>0</v>
      </c>
      <c r="BO45" s="19">
        <f t="shared" si="12"/>
        <v>0</v>
      </c>
      <c r="BP45" s="54"/>
      <c r="BQ45" s="21"/>
      <c r="BR45" s="21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8">
        <f t="shared" si="13"/>
        <v>0</v>
      </c>
      <c r="CF45" s="8">
        <f t="shared" si="13"/>
        <v>0</v>
      </c>
      <c r="CG45" s="19">
        <f>IFERROR(INDEX(Settings!$F:$F, MATCH('PROJECT NAME DEC'!$B45 &amp; "-" &amp; 'PROJECT NAME DEC'!$C45, Settings!$H:$H,0)), "")</f>
        <v>106.25</v>
      </c>
      <c r="CH45" s="19">
        <f>IFERROR(INDEX(Settings!$G:$G, MATCH('PROJECT NAME DEC'!$B45 &amp; "-" &amp; 'PROJECT NAME DEC'!$C45, Settings!$H:$H, 0)), "")</f>
        <v>850</v>
      </c>
      <c r="CI45" s="20">
        <f t="shared" si="22"/>
        <v>0</v>
      </c>
      <c r="CJ45" s="20">
        <f t="shared" si="19"/>
        <v>0</v>
      </c>
      <c r="CK45" s="19">
        <f t="shared" si="14"/>
        <v>0</v>
      </c>
      <c r="CM45" s="3"/>
      <c r="CN45" s="3"/>
      <c r="CO45" s="3"/>
      <c r="CP45" s="3"/>
      <c r="CQ45" s="3"/>
      <c r="CR45" s="3"/>
      <c r="CS45" s="8">
        <f t="shared" si="29"/>
        <v>0</v>
      </c>
      <c r="CT45" s="8">
        <f t="shared" si="28"/>
        <v>0</v>
      </c>
      <c r="CU45" s="19">
        <f>IFERROR(INDEX(Settings!$F:$F, MATCH('PROJECT NAME DEC'!$B45 &amp; "-" &amp; 'PROJECT NAME DEC'!$C45, Settings!$H:$H,0)), "")</f>
        <v>106.25</v>
      </c>
      <c r="CV45" s="19">
        <f>IFERROR(INDEX(Settings!$G:$G, MATCH('PROJECT NAME DEC'!$B45 &amp; "-" &amp; 'PROJECT NAME DEC'!$C45, Settings!$H:$H, 0)), "")</f>
        <v>850</v>
      </c>
      <c r="CW45" s="19">
        <v>0</v>
      </c>
      <c r="CX45" s="20">
        <f t="shared" si="15"/>
        <v>0</v>
      </c>
      <c r="CY45" s="19">
        <f t="shared" si="4"/>
        <v>0</v>
      </c>
      <c r="DA45" s="162"/>
      <c r="DB45" s="158"/>
      <c r="DC45" s="158"/>
      <c r="DD45" s="158"/>
      <c r="DE45" s="159"/>
      <c r="DF45" s="159"/>
      <c r="DG45" s="158"/>
      <c r="DH45" s="153" t="str">
        <f t="shared" si="16"/>
        <v>-</v>
      </c>
    </row>
    <row r="46" spans="2:112" x14ac:dyDescent="0.3">
      <c r="B46" s="3" t="s">
        <v>65</v>
      </c>
      <c r="C46" s="1" t="s">
        <v>29</v>
      </c>
      <c r="D46" s="1" t="s">
        <v>245</v>
      </c>
      <c r="E46" s="4" t="s">
        <v>210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8">
        <f t="shared" si="5"/>
        <v>0</v>
      </c>
      <c r="S46" s="8">
        <f t="shared" si="5"/>
        <v>0</v>
      </c>
      <c r="T46" s="19">
        <f>IFERROR(INDEX(Settings!$F:$F, MATCH('PROJECT NAME DEC'!$B46 &amp; "-" &amp; 'PROJECT NAME DEC'!$C46, Settings!$H:$H,0)), "")</f>
        <v>106.25</v>
      </c>
      <c r="U46" s="19">
        <f>IFERROR(INDEX(Settings!$G:$G, MATCH('PROJECT NAME DEC'!$B46 &amp; "-" &amp; 'PROJECT NAME DEC'!$C46, Settings!$H:$H, 0)), "")</f>
        <v>850</v>
      </c>
      <c r="V46" s="20">
        <f t="shared" si="20"/>
        <v>0</v>
      </c>
      <c r="W46" s="20">
        <f t="shared" si="17"/>
        <v>0</v>
      </c>
      <c r="X46" s="19">
        <f t="shared" si="6"/>
        <v>0</v>
      </c>
      <c r="Y46" s="21">
        <v>0</v>
      </c>
      <c r="Z46" s="21">
        <v>0</v>
      </c>
      <c r="AA46" s="21">
        <v>8</v>
      </c>
      <c r="AB46" s="8">
        <v>7</v>
      </c>
      <c r="AC46" s="21">
        <v>0</v>
      </c>
      <c r="AD46" s="21">
        <v>0</v>
      </c>
      <c r="AE46" s="21">
        <v>0</v>
      </c>
      <c r="AF46" s="8">
        <v>0</v>
      </c>
      <c r="AG46" s="21"/>
      <c r="AH46" s="21"/>
      <c r="AI46" s="21"/>
      <c r="AJ46" s="21"/>
      <c r="AK46" s="21"/>
      <c r="AL46" s="21"/>
      <c r="AM46" s="44">
        <f>IFERROR(INDEX(Settings!$F:$F, MATCH('PROJECT NAME DEC'!$B46 &amp; "-" &amp; 'PROJECT NAME DEC'!$C46, Settings!$H:$H,0)), "")</f>
        <v>106.25</v>
      </c>
      <c r="AN46" s="44">
        <f>IFERROR(INDEX(Settings!$G:$G, MATCH('PROJECT NAME DEC'!$B46 &amp; "-" &amp; 'PROJECT NAME DEC'!$C46, Settings!$H:$H, 0)), "")</f>
        <v>850</v>
      </c>
      <c r="AO46" s="21">
        <f t="shared" si="7"/>
        <v>8</v>
      </c>
      <c r="AP46" s="21">
        <f t="shared" si="7"/>
        <v>7</v>
      </c>
      <c r="AQ46" s="44">
        <f t="shared" si="8"/>
        <v>1593.75</v>
      </c>
      <c r="AR46" s="44">
        <f t="shared" si="9"/>
        <v>79.6875</v>
      </c>
      <c r="AS46" s="44">
        <f t="shared" si="10"/>
        <v>1514.0625</v>
      </c>
      <c r="AT46" s="59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7"/>
      <c r="BG46" s="27"/>
      <c r="BH46" s="21"/>
      <c r="BI46" s="8">
        <f t="shared" si="11"/>
        <v>0</v>
      </c>
      <c r="BJ46" s="8">
        <f t="shared" si="11"/>
        <v>0</v>
      </c>
      <c r="BK46" s="19">
        <f>IFERROR(INDEX(Settings!$F:$F, MATCH('PROJECT NAME DEC'!$B46 &amp; "-" &amp; 'PROJECT NAME DEC'!$C46, Settings!$H:$H,0)), "")</f>
        <v>106.25</v>
      </c>
      <c r="BL46" s="19">
        <f>IFERROR(INDEX(Settings!$G:$G, MATCH('PROJECT NAME DEC'!$B46 &amp; "-" &amp; 'PROJECT NAME DEC'!$C46, Settings!$H:$H, 0)), "")</f>
        <v>850</v>
      </c>
      <c r="BM46" s="20">
        <f t="shared" si="21"/>
        <v>0</v>
      </c>
      <c r="BN46" s="20">
        <f t="shared" si="18"/>
        <v>0</v>
      </c>
      <c r="BO46" s="19">
        <f t="shared" si="12"/>
        <v>0</v>
      </c>
      <c r="BP46" s="54"/>
      <c r="BQ46" s="21"/>
      <c r="BR46" s="21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8">
        <f t="shared" si="13"/>
        <v>0</v>
      </c>
      <c r="CF46" s="8">
        <f t="shared" si="13"/>
        <v>0</v>
      </c>
      <c r="CG46" s="19">
        <f>IFERROR(INDEX(Settings!$F:$F, MATCH('PROJECT NAME DEC'!$B46 &amp; "-" &amp; 'PROJECT NAME DEC'!$C46, Settings!$H:$H,0)), "")</f>
        <v>106.25</v>
      </c>
      <c r="CH46" s="19">
        <f>IFERROR(INDEX(Settings!$G:$G, MATCH('PROJECT NAME DEC'!$B46 &amp; "-" &amp; 'PROJECT NAME DEC'!$C46, Settings!$H:$H, 0)), "")</f>
        <v>850</v>
      </c>
      <c r="CI46" s="20">
        <f t="shared" si="22"/>
        <v>0</v>
      </c>
      <c r="CJ46" s="20">
        <f t="shared" si="19"/>
        <v>0</v>
      </c>
      <c r="CK46" s="19">
        <f t="shared" si="14"/>
        <v>0</v>
      </c>
      <c r="CM46" s="3"/>
      <c r="CN46" s="3"/>
      <c r="CO46" s="3"/>
      <c r="CP46" s="3"/>
      <c r="CQ46" s="3"/>
      <c r="CR46" s="3"/>
      <c r="CS46" s="8">
        <f t="shared" si="29"/>
        <v>0</v>
      </c>
      <c r="CT46" s="8">
        <f t="shared" si="28"/>
        <v>0</v>
      </c>
      <c r="CU46" s="19">
        <f>IFERROR(INDEX(Settings!$F:$F, MATCH('PROJECT NAME DEC'!$B46 &amp; "-" &amp; 'PROJECT NAME DEC'!$C46, Settings!$H:$H,0)), "")</f>
        <v>106.25</v>
      </c>
      <c r="CV46" s="19">
        <f>IFERROR(INDEX(Settings!$G:$G, MATCH('PROJECT NAME DEC'!$B46 &amp; "-" &amp; 'PROJECT NAME DEC'!$C46, Settings!$H:$H, 0)), "")</f>
        <v>850</v>
      </c>
      <c r="CW46" s="19">
        <v>0</v>
      </c>
      <c r="CX46" s="20">
        <f t="shared" si="15"/>
        <v>0</v>
      </c>
      <c r="CY46" s="19">
        <f t="shared" si="4"/>
        <v>0</v>
      </c>
      <c r="DA46" s="162"/>
      <c r="DB46" s="158"/>
      <c r="DC46" s="158"/>
      <c r="DD46" s="158"/>
      <c r="DE46" s="159"/>
      <c r="DF46" s="159"/>
      <c r="DG46" s="158"/>
      <c r="DH46" s="152" t="str">
        <f t="shared" si="16"/>
        <v>-</v>
      </c>
    </row>
    <row r="47" spans="2:112" x14ac:dyDescent="0.3">
      <c r="B47" s="3" t="s">
        <v>65</v>
      </c>
      <c r="C47" s="1" t="s">
        <v>29</v>
      </c>
      <c r="D47" s="1" t="s">
        <v>246</v>
      </c>
      <c r="E47" s="4" t="s">
        <v>213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8"/>
      <c r="S47" s="8"/>
      <c r="T47" s="19"/>
      <c r="U47" s="19"/>
      <c r="V47" s="20"/>
      <c r="W47" s="20"/>
      <c r="X47" s="19"/>
      <c r="Y47" s="21"/>
      <c r="Z47" s="21"/>
      <c r="AA47" s="21">
        <v>8</v>
      </c>
      <c r="AB47" s="8"/>
      <c r="AC47" s="21"/>
      <c r="AD47" s="21"/>
      <c r="AE47" s="21"/>
      <c r="AF47" s="8"/>
      <c r="AG47" s="21"/>
      <c r="AH47" s="21"/>
      <c r="AI47" s="21"/>
      <c r="AJ47" s="21"/>
      <c r="AK47" s="21"/>
      <c r="AL47" s="21"/>
      <c r="AM47" s="44">
        <f>IFERROR(INDEX(Settings!$F:$F, MATCH('PROJECT NAME DEC'!$B47 &amp; "-" &amp; 'PROJECT NAME DEC'!$C47, Settings!$H:$H,0)), "")</f>
        <v>106.25</v>
      </c>
      <c r="AN47" s="44">
        <f>IFERROR(INDEX(Settings!$G:$G, MATCH('PROJECT NAME DEC'!$B47 &amp; "-" &amp; 'PROJECT NAME DEC'!$C47, Settings!$H:$H, 0)), "")</f>
        <v>850</v>
      </c>
      <c r="AO47" s="21">
        <f t="shared" ref="AO47" si="30">SUM(Y47,AA47,AC47,AE47,AG47,AI47,AK47)</f>
        <v>8</v>
      </c>
      <c r="AP47" s="21">
        <f t="shared" ref="AP47" si="31">SUM(Z47,AB47,AD47,AF47,AH47,AJ47,AL47)</f>
        <v>0</v>
      </c>
      <c r="AQ47" s="44">
        <f t="shared" ref="AQ47" si="32">(AO47*AM47)+(AP47*AM47)</f>
        <v>850</v>
      </c>
      <c r="AR47" s="44">
        <f t="shared" ref="AR47" si="33">AQ47*5%</f>
        <v>42.5</v>
      </c>
      <c r="AS47" s="44">
        <f t="shared" ref="AS47" si="34">AQ47-AR47</f>
        <v>807.5</v>
      </c>
      <c r="AT47" s="59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7"/>
      <c r="BG47" s="27"/>
      <c r="BH47" s="21"/>
      <c r="BI47" s="8"/>
      <c r="BJ47" s="8"/>
      <c r="BK47" s="19"/>
      <c r="BL47" s="19"/>
      <c r="BM47" s="20"/>
      <c r="BN47" s="20"/>
      <c r="BO47" s="19"/>
      <c r="BP47" s="54"/>
      <c r="BQ47" s="21"/>
      <c r="BR47" s="21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8"/>
      <c r="CF47" s="8"/>
      <c r="CG47" s="19"/>
      <c r="CH47" s="19"/>
      <c r="CI47" s="20"/>
      <c r="CJ47" s="20"/>
      <c r="CK47" s="19"/>
      <c r="CM47" s="3"/>
      <c r="CN47" s="3"/>
      <c r="CO47" s="3"/>
      <c r="CP47" s="3"/>
      <c r="CQ47" s="3"/>
      <c r="CR47" s="3"/>
      <c r="CS47" s="8"/>
      <c r="CT47" s="8"/>
      <c r="CU47" s="19"/>
      <c r="CV47" s="19"/>
      <c r="CW47" s="19"/>
      <c r="CX47" s="20"/>
      <c r="CY47" s="19"/>
      <c r="DA47" s="162"/>
      <c r="DB47" s="158"/>
      <c r="DC47" s="158"/>
      <c r="DD47" s="158"/>
      <c r="DE47" s="159"/>
      <c r="DF47" s="159"/>
      <c r="DG47" s="158"/>
      <c r="DH47" s="152"/>
    </row>
    <row r="48" spans="2:112" x14ac:dyDescent="0.3">
      <c r="B48" s="3" t="s">
        <v>65</v>
      </c>
      <c r="C48" s="1" t="s">
        <v>29</v>
      </c>
      <c r="D48" s="1" t="s">
        <v>247</v>
      </c>
      <c r="E48" s="4" t="s">
        <v>211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8">
        <f t="shared" si="5"/>
        <v>0</v>
      </c>
      <c r="S48" s="8">
        <f t="shared" si="5"/>
        <v>0</v>
      </c>
      <c r="T48" s="19">
        <f>IFERROR(INDEX(Settings!$F:$F, MATCH('PROJECT NAME DEC'!$B48 &amp; "-" &amp; 'PROJECT NAME DEC'!$C48, Settings!$H:$H,0)), "")</f>
        <v>106.25</v>
      </c>
      <c r="U48" s="19">
        <f>IFERROR(INDEX(Settings!$G:$G, MATCH('PROJECT NAME DEC'!$B48 &amp; "-" &amp; 'PROJECT NAME DEC'!$C48, Settings!$H:$H, 0)), "")</f>
        <v>850</v>
      </c>
      <c r="V48" s="20">
        <f t="shared" si="20"/>
        <v>0</v>
      </c>
      <c r="W48" s="20">
        <f t="shared" si="17"/>
        <v>0</v>
      </c>
      <c r="X48" s="19">
        <f t="shared" si="6"/>
        <v>0</v>
      </c>
      <c r="Y48" s="21">
        <v>0</v>
      </c>
      <c r="Z48" s="21">
        <v>0</v>
      </c>
      <c r="AA48" s="21">
        <v>8</v>
      </c>
      <c r="AB48" s="8">
        <v>7</v>
      </c>
      <c r="AC48" s="21">
        <v>0</v>
      </c>
      <c r="AD48" s="21">
        <v>0</v>
      </c>
      <c r="AE48" s="21">
        <v>0</v>
      </c>
      <c r="AF48" s="8">
        <v>0</v>
      </c>
      <c r="AG48" s="21"/>
      <c r="AH48" s="21"/>
      <c r="AI48" s="21"/>
      <c r="AJ48" s="21"/>
      <c r="AK48" s="21"/>
      <c r="AL48" s="21"/>
      <c r="AM48" s="44">
        <f>IFERROR(INDEX(Settings!$F:$F, MATCH('PROJECT NAME DEC'!$B48 &amp; "-" &amp; 'PROJECT NAME DEC'!$C48, Settings!$H:$H,0)), "")</f>
        <v>106.25</v>
      </c>
      <c r="AN48" s="44">
        <f>IFERROR(INDEX(Settings!$G:$G, MATCH('PROJECT NAME DEC'!$B48 &amp; "-" &amp; 'PROJECT NAME DEC'!$C48, Settings!$H:$H, 0)), "")</f>
        <v>850</v>
      </c>
      <c r="AO48" s="21">
        <f t="shared" si="7"/>
        <v>8</v>
      </c>
      <c r="AP48" s="21">
        <f t="shared" si="7"/>
        <v>7</v>
      </c>
      <c r="AQ48" s="44">
        <f t="shared" si="8"/>
        <v>1593.75</v>
      </c>
      <c r="AR48" s="44">
        <f t="shared" si="9"/>
        <v>79.6875</v>
      </c>
      <c r="AS48" s="44">
        <f t="shared" si="10"/>
        <v>1514.0625</v>
      </c>
      <c r="AT48" s="59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7"/>
      <c r="BG48" s="27"/>
      <c r="BH48" s="21"/>
      <c r="BI48" s="8">
        <f t="shared" si="11"/>
        <v>0</v>
      </c>
      <c r="BJ48" s="8">
        <f t="shared" si="11"/>
        <v>0</v>
      </c>
      <c r="BK48" s="19">
        <f>IFERROR(INDEX(Settings!$F:$F, MATCH('PROJECT NAME DEC'!$B48 &amp; "-" &amp; 'PROJECT NAME DEC'!$C48, Settings!$H:$H,0)), "")</f>
        <v>106.25</v>
      </c>
      <c r="BL48" s="19">
        <f>IFERROR(INDEX(Settings!$G:$G, MATCH('PROJECT NAME DEC'!$B48 &amp; "-" &amp; 'PROJECT NAME DEC'!$C48, Settings!$H:$H, 0)), "")</f>
        <v>850</v>
      </c>
      <c r="BM48" s="20">
        <f t="shared" si="21"/>
        <v>0</v>
      </c>
      <c r="BN48" s="20">
        <f t="shared" si="18"/>
        <v>0</v>
      </c>
      <c r="BO48" s="19">
        <f t="shared" si="12"/>
        <v>0</v>
      </c>
      <c r="BP48" s="54"/>
      <c r="BQ48" s="21"/>
      <c r="BR48" s="21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8">
        <f t="shared" si="13"/>
        <v>0</v>
      </c>
      <c r="CF48" s="8">
        <f t="shared" si="13"/>
        <v>0</v>
      </c>
      <c r="CG48" s="19">
        <f>IFERROR(INDEX(Settings!$F:$F, MATCH('PROJECT NAME DEC'!$B48 &amp; "-" &amp; 'PROJECT NAME DEC'!$C48, Settings!$H:$H,0)), "")</f>
        <v>106.25</v>
      </c>
      <c r="CH48" s="19">
        <f>IFERROR(INDEX(Settings!$G:$G, MATCH('PROJECT NAME DEC'!$B48 &amp; "-" &amp; 'PROJECT NAME DEC'!$C48, Settings!$H:$H, 0)), "")</f>
        <v>850</v>
      </c>
      <c r="CI48" s="20">
        <f t="shared" si="22"/>
        <v>0</v>
      </c>
      <c r="CJ48" s="20">
        <f t="shared" si="19"/>
        <v>0</v>
      </c>
      <c r="CK48" s="19">
        <f t="shared" si="14"/>
        <v>0</v>
      </c>
      <c r="CM48" s="3"/>
      <c r="CN48" s="3"/>
      <c r="CO48" s="3"/>
      <c r="CP48" s="3"/>
      <c r="CQ48" s="3"/>
      <c r="CR48" s="3"/>
      <c r="CS48" s="8">
        <f t="shared" si="29"/>
        <v>0</v>
      </c>
      <c r="CT48" s="8">
        <f t="shared" si="28"/>
        <v>0</v>
      </c>
      <c r="CU48" s="19">
        <f>IFERROR(INDEX(Settings!$F:$F, MATCH('PROJECT NAME DEC'!$B48 &amp; "-" &amp; 'PROJECT NAME DEC'!$C48, Settings!$H:$H,0)), "")</f>
        <v>106.25</v>
      </c>
      <c r="CV48" s="19">
        <f>IFERROR(INDEX(Settings!$G:$G, MATCH('PROJECT NAME DEC'!$B48 &amp; "-" &amp; 'PROJECT NAME DEC'!$C48, Settings!$H:$H, 0)), "")</f>
        <v>850</v>
      </c>
      <c r="CW48" s="19">
        <v>0</v>
      </c>
      <c r="CX48" s="20">
        <f t="shared" si="15"/>
        <v>0</v>
      </c>
      <c r="CY48" s="19">
        <f t="shared" si="4"/>
        <v>0</v>
      </c>
      <c r="DA48" s="162"/>
      <c r="DB48" s="158"/>
      <c r="DC48" s="158"/>
      <c r="DD48" s="158"/>
      <c r="DE48" s="159"/>
      <c r="DF48" s="159"/>
      <c r="DG48" s="158"/>
      <c r="DH48" s="153" t="str">
        <f t="shared" si="16"/>
        <v>-</v>
      </c>
    </row>
    <row r="49" spans="71:111" x14ac:dyDescent="0.3">
      <c r="DA49" s="163"/>
      <c r="DB49" s="163"/>
      <c r="DC49" s="163"/>
      <c r="DD49" s="163"/>
      <c r="DE49" s="163"/>
      <c r="DF49" s="163"/>
      <c r="DG49" s="163"/>
    </row>
    <row r="59" spans="71:111" x14ac:dyDescent="0.3">
      <c r="BS59" s="5" t="e">
        <f>IFERROR(VLOOKUP(AY7, Settings!M:N, 2, FALSE), VLOOKUP('PROJECT NAME DEC'!AZ7, Settings!I:J, 2, FALSE))</f>
        <v>#N/A</v>
      </c>
      <c r="BT59" s="5" t="e">
        <f>IFERROR(VLOOKUP('PROJECT NAME DEC'!AY7, Settings!M:O, 3, FALSE), VLOOKUP('PROJECT NAME DEC'!AZ7, Settings!I:K, 3, FALSE))</f>
        <v>#N/A</v>
      </c>
    </row>
  </sheetData>
  <mergeCells count="91">
    <mergeCell ref="DB5:DE5"/>
    <mergeCell ref="BY5:BZ5"/>
    <mergeCell ref="CA5:CB5"/>
    <mergeCell ref="CC5:CD5"/>
    <mergeCell ref="CM5:CN5"/>
    <mergeCell ref="CO5:CP5"/>
    <mergeCell ref="CQ5:CR5"/>
    <mergeCell ref="BW5:BX5"/>
    <mergeCell ref="AK5:AL5"/>
    <mergeCell ref="AU5:AV5"/>
    <mergeCell ref="AW5:AX5"/>
    <mergeCell ref="AY5:AZ5"/>
    <mergeCell ref="BA5:BB5"/>
    <mergeCell ref="BC5:BD5"/>
    <mergeCell ref="BE5:BF5"/>
    <mergeCell ref="BG5:BH5"/>
    <mergeCell ref="BQ5:BR5"/>
    <mergeCell ref="BS5:BT5"/>
    <mergeCell ref="BU5:BV5"/>
    <mergeCell ref="AI5:AJ5"/>
    <mergeCell ref="F5:G5"/>
    <mergeCell ref="H5:I5"/>
    <mergeCell ref="J5:K5"/>
    <mergeCell ref="L5:M5"/>
    <mergeCell ref="N5:O5"/>
    <mergeCell ref="P5:Q5"/>
    <mergeCell ref="Y5:Z5"/>
    <mergeCell ref="AA5:AB5"/>
    <mergeCell ref="AC5:AD5"/>
    <mergeCell ref="AE5:AF5"/>
    <mergeCell ref="AG5:AH5"/>
    <mergeCell ref="DA4:DB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Q4:CR4"/>
    <mergeCell ref="CU4:CV4"/>
    <mergeCell ref="BQ4:BR4"/>
    <mergeCell ref="AK4:AL4"/>
    <mergeCell ref="AR4:AS4"/>
    <mergeCell ref="AU4:AV4"/>
    <mergeCell ref="AW4:AX4"/>
    <mergeCell ref="AY4:AZ4"/>
    <mergeCell ref="BA4:BB4"/>
    <mergeCell ref="BC4:BD4"/>
    <mergeCell ref="BE4:BF4"/>
    <mergeCell ref="BG4:BH4"/>
    <mergeCell ref="BK4:BL4"/>
    <mergeCell ref="BM4:BN4"/>
    <mergeCell ref="AI4:AJ4"/>
    <mergeCell ref="F4:G4"/>
    <mergeCell ref="H4:I4"/>
    <mergeCell ref="J4:K4"/>
    <mergeCell ref="L4:M4"/>
    <mergeCell ref="N4:O4"/>
    <mergeCell ref="P4:Q4"/>
    <mergeCell ref="Y4:Z4"/>
    <mergeCell ref="AA4:AB4"/>
    <mergeCell ref="AC4:AD4"/>
    <mergeCell ref="AE4:AF4"/>
    <mergeCell ref="AG4:AH4"/>
    <mergeCell ref="DE2:DE3"/>
    <mergeCell ref="CG2:CH3"/>
    <mergeCell ref="CI2:CI3"/>
    <mergeCell ref="CJ2:CJ3"/>
    <mergeCell ref="CK2:CK3"/>
    <mergeCell ref="CU2:CV3"/>
    <mergeCell ref="CW2:CW3"/>
    <mergeCell ref="CX2:CX3"/>
    <mergeCell ref="CY2:CY3"/>
    <mergeCell ref="DA2:DB3"/>
    <mergeCell ref="DC2:DC3"/>
    <mergeCell ref="DD2:DD3"/>
    <mergeCell ref="BO2:BO3"/>
    <mergeCell ref="T2:U3"/>
    <mergeCell ref="V2:V3"/>
    <mergeCell ref="W2:W3"/>
    <mergeCell ref="X2:X3"/>
    <mergeCell ref="AM2:AN3"/>
    <mergeCell ref="AQ2:AQ3"/>
    <mergeCell ref="AR2:AR3"/>
    <mergeCell ref="AS2:AS3"/>
    <mergeCell ref="BK2:BL3"/>
    <mergeCell ref="BM2:BM3"/>
    <mergeCell ref="BN2:BN3"/>
  </mergeCells>
  <phoneticPr fontId="15" type="noConversion"/>
  <conditionalFormatting sqref="F7:Q48">
    <cfRule type="colorScale" priority="2">
      <colorScale>
        <cfvo type="min"/>
        <cfvo type="max"/>
        <color rgb="FFFCFCFF"/>
        <color rgb="FF63BE7B"/>
      </colorScale>
    </cfRule>
  </conditionalFormatting>
  <conditionalFormatting sqref="Y7:AL48">
    <cfRule type="colorScale" priority="1">
      <colorScale>
        <cfvo type="min"/>
        <cfvo type="max"/>
        <color rgb="FFFCFCFF"/>
        <color rgb="FF63BE7B"/>
      </colorScale>
    </cfRule>
  </conditionalFormatting>
  <conditionalFormatting sqref="AA23:AB23 AA24:AA48 Y7:AL7 AC23:AC45 AF8:AL29 AA8:AC22 Y8:Z45 AF8:AF48 AB8:AB48 AD8:AE45">
    <cfRule type="colorScale" priority="366">
      <colorScale>
        <cfvo type="min"/>
        <cfvo type="max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1:AW44 AY31:AY44 BA31:BB44 BC31:BC48 BB45:BB48 AX31:AX48 AU30:AY30 AZ30:AZ48 BA30:BC30 AU7:BC29 BD7:BE48 BH7:BH48 BQ7:BR7 BQ8:CD8 BS10:CD10 BV31 BV33 AU31:AV48 BQ20:CA21 BQ9:BR19 BQ22:BR48">
    <cfRule type="colorScale" priority="473">
      <colorScale>
        <cfvo type="min"/>
        <cfvo type="max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5 AY45 BA45">
    <cfRule type="colorScale" priority="10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6:AW47 AY46:AY47 BA46:BA47">
    <cfRule type="colorScale" priority="8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8 AY48 BA48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9:BH75 AX7:BE48 BH7:BH48 BQ7:BR7 BQ8:CD8 BS10:CD10 BV31 BV33 BQ20:CA21 BQ9:BR19 BQ22:BR75">
    <cfRule type="colorScale" priority="517">
      <colorScale>
        <cfvo type="min"/>
        <cfvo type="max"/>
        <color rgb="FFFCFCFF"/>
        <color rgb="FF63BE7B"/>
      </colorScale>
    </cfRule>
  </conditionalFormatting>
  <conditionalFormatting sqref="BF7:BH48">
    <cfRule type="colorScale" priority="533">
      <colorScale>
        <cfvo type="min"/>
        <cfvo type="max"/>
        <color rgb="FFFCFCFF"/>
        <color rgb="FF63BE7B"/>
      </colorScale>
    </cfRule>
  </conditionalFormatting>
  <conditionalFormatting sqref="BQ7:CD48">
    <cfRule type="colorScale" priority="529">
      <colorScale>
        <cfvo type="min"/>
        <cfvo type="max"/>
        <color rgb="FFFCFCFF"/>
        <color rgb="FF63BE7B"/>
      </colorScale>
    </cfRule>
    <cfRule type="colorScale" priority="534">
      <colorScale>
        <cfvo type="min"/>
        <cfvo type="max"/>
        <color rgb="FFFCFCFF"/>
        <color rgb="FF63BE7B"/>
      </colorScale>
    </cfRule>
  </conditionalFormatting>
  <conditionalFormatting sqref="CM7:CR48">
    <cfRule type="colorScale" priority="53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Settings!$A:$A</xm:f>
          </x14:formula1>
          <xm:sqref>C7:C48</xm:sqref>
        </x14:dataValidation>
        <x14:dataValidation type="list" allowBlank="1" showInputMessage="1" showErrorMessage="1" xr:uid="{00000000-0002-0000-0200-000001000000}">
          <x14:formula1>
            <xm:f>'Rate Master'!$B:$B</xm:f>
          </x14:formula1>
          <xm:sqref>DC7:DC48</xm:sqref>
        </x14:dataValidation>
        <x14:dataValidation type="list" allowBlank="1" showInputMessage="1" showErrorMessage="1" xr:uid="{00000000-0002-0000-0200-000002000000}">
          <x14:formula1>
            <xm:f>'Rate Master'!$A:$A</xm:f>
          </x14:formula1>
          <xm:sqref>DB7:DB48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95CC-BB5B-48A8-A559-033723E50E63}">
  <dimension ref="A1:G51"/>
  <sheetViews>
    <sheetView workbookViewId="0">
      <selection activeCell="E23" sqref="E23:F24"/>
    </sheetView>
  </sheetViews>
  <sheetFormatPr defaultRowHeight="14.4" x14ac:dyDescent="0.3"/>
  <cols>
    <col min="1" max="1" width="9.88671875" bestFit="1" customWidth="1"/>
    <col min="2" max="2" width="38.6640625" bestFit="1" customWidth="1"/>
    <col min="3" max="3" width="13.5546875" bestFit="1" customWidth="1"/>
    <col min="4" max="4" width="22.6640625" bestFit="1" customWidth="1"/>
    <col min="5" max="5" width="16.44140625" bestFit="1" customWidth="1"/>
    <col min="6" max="6" width="13.77734375" bestFit="1" customWidth="1"/>
    <col min="7" max="7" width="18.109375" customWidth="1"/>
  </cols>
  <sheetData>
    <row r="1" spans="1:7" ht="25.8" x14ac:dyDescent="0.3">
      <c r="A1" s="75"/>
      <c r="B1" s="146" t="s">
        <v>169</v>
      </c>
      <c r="C1" s="146"/>
      <c r="D1" s="146"/>
      <c r="E1" s="146"/>
      <c r="F1" s="22"/>
      <c r="G1" s="22"/>
    </row>
    <row r="2" spans="1:7" x14ac:dyDescent="0.3">
      <c r="A2" s="91" t="s">
        <v>98</v>
      </c>
      <c r="B2" s="68" t="s">
        <v>99</v>
      </c>
      <c r="C2" s="68" t="s">
        <v>100</v>
      </c>
      <c r="D2" s="68" t="s">
        <v>101</v>
      </c>
      <c r="E2" s="69" t="s">
        <v>102</v>
      </c>
      <c r="F2" s="69" t="s">
        <v>103</v>
      </c>
      <c r="G2" s="70" t="s">
        <v>104</v>
      </c>
    </row>
    <row r="3" spans="1:7" x14ac:dyDescent="0.3">
      <c r="A3" s="88"/>
      <c r="B3" s="27" t="s">
        <v>161</v>
      </c>
      <c r="C3" s="27" t="s">
        <v>166</v>
      </c>
      <c r="D3" s="27">
        <v>53.97</v>
      </c>
      <c r="E3" s="26">
        <f>IFERROR(INDEX('Rate Master'!$C$2:$C$103, MATCH('PROJECT NAME NOV'!$DH7, 'Rate Master'!$D$2:$D$103,0)),0)</f>
        <v>8000</v>
      </c>
      <c r="F3" s="26">
        <f>D3*E3</f>
        <v>431760</v>
      </c>
      <c r="G3" s="71"/>
    </row>
    <row r="4" spans="1:7" x14ac:dyDescent="0.3">
      <c r="A4" s="89"/>
      <c r="B4" s="27" t="s">
        <v>148</v>
      </c>
      <c r="C4" s="27" t="s">
        <v>106</v>
      </c>
      <c r="D4" s="150">
        <v>213.04</v>
      </c>
      <c r="E4" s="26">
        <f>IFERROR(INDEX('Rate Master'!$C$2:$C$103, MATCH('PROJECT NAME NOV'!$DH8, 'Rate Master'!$D$2:$D$103,0)),0)</f>
        <v>295</v>
      </c>
      <c r="F4" s="26">
        <f>D4*E4</f>
        <v>62846.799999999996</v>
      </c>
      <c r="G4" s="72"/>
    </row>
    <row r="5" spans="1:7" x14ac:dyDescent="0.3">
      <c r="A5" s="90"/>
      <c r="B5" s="27" t="s">
        <v>153</v>
      </c>
      <c r="C5" s="27" t="s">
        <v>166</v>
      </c>
      <c r="D5" s="27">
        <v>12</v>
      </c>
      <c r="E5" s="26">
        <f>IFERROR(INDEX('Rate Master'!$C$2:$C$103, MATCH('PROJECT NAME NOV'!$DH9, 'Rate Master'!$D$2:$D$103,0)),0)</f>
        <v>5500</v>
      </c>
      <c r="F5" s="26">
        <f>D5*E5</f>
        <v>66000</v>
      </c>
      <c r="G5" s="72"/>
    </row>
    <row r="6" spans="1:7" x14ac:dyDescent="0.3">
      <c r="A6" s="90"/>
      <c r="B6" s="27" t="s">
        <v>154</v>
      </c>
      <c r="C6" s="27" t="s">
        <v>106</v>
      </c>
      <c r="D6" s="27">
        <v>240</v>
      </c>
      <c r="E6" s="26">
        <f>IFERROR(INDEX('Rate Master'!$C$2:$C$103, MATCH('PROJECT NAME NOV'!$DH10, 'Rate Master'!$D$2:$D$103,0)),0)</f>
        <v>240</v>
      </c>
      <c r="F6" s="26">
        <f>D6*E6</f>
        <v>57600</v>
      </c>
      <c r="G6" s="72"/>
    </row>
    <row r="7" spans="1:7" x14ac:dyDescent="0.3">
      <c r="A7" s="90"/>
      <c r="B7" s="27" t="s">
        <v>110</v>
      </c>
      <c r="C7" s="27" t="s">
        <v>100</v>
      </c>
      <c r="D7" s="27">
        <v>0</v>
      </c>
      <c r="E7" s="26">
        <f>IFERROR(INDEX('Rate Master'!$C$2:$C$103, MATCH('PROJECT NAME NOV'!$DH11, 'Rate Master'!$D$2:$D$103,0)),0)</f>
        <v>0</v>
      </c>
      <c r="F7" s="26">
        <f>D7*E7</f>
        <v>0</v>
      </c>
      <c r="G7" s="72"/>
    </row>
    <row r="8" spans="1:7" x14ac:dyDescent="0.3">
      <c r="A8" s="90"/>
      <c r="B8" s="27" t="s">
        <v>110</v>
      </c>
      <c r="C8" s="27" t="s">
        <v>100</v>
      </c>
      <c r="D8" s="27">
        <v>0</v>
      </c>
      <c r="E8" s="26">
        <f>IFERROR(INDEX('Rate Master'!$C$2:$C$103, MATCH('PROJECT NAME NOV'!$DH12, 'Rate Master'!$D$2:$D$103,0)),0)</f>
        <v>0</v>
      </c>
      <c r="F8" s="26">
        <f>D8*E8</f>
        <v>0</v>
      </c>
      <c r="G8" s="72"/>
    </row>
    <row r="9" spans="1:7" x14ac:dyDescent="0.3">
      <c r="A9" s="90"/>
      <c r="B9" s="27" t="s">
        <v>110</v>
      </c>
      <c r="C9" s="27" t="s">
        <v>100</v>
      </c>
      <c r="D9" s="27">
        <v>0</v>
      </c>
      <c r="E9" s="26">
        <f>IFERROR(INDEX('Rate Master'!$C$2:$C$103, MATCH('PROJECT NAME NOV'!$DH13, 'Rate Master'!$D$2:$D$103,0)),0)</f>
        <v>0</v>
      </c>
      <c r="F9" s="26">
        <f>D9*E9</f>
        <v>0</v>
      </c>
      <c r="G9" s="72"/>
    </row>
    <row r="10" spans="1:7" x14ac:dyDescent="0.3">
      <c r="A10" s="90"/>
      <c r="B10" s="27" t="s">
        <v>110</v>
      </c>
      <c r="C10" s="27" t="s">
        <v>100</v>
      </c>
      <c r="D10" s="27">
        <v>0</v>
      </c>
      <c r="E10" s="26">
        <f>IFERROR(INDEX('Rate Master'!$C$2:$C$103, MATCH('PROJECT NAME NOV'!$DH14, 'Rate Master'!$D$2:$D$103,0)),0)</f>
        <v>0</v>
      </c>
      <c r="F10" s="26">
        <f>D10*E10</f>
        <v>0</v>
      </c>
      <c r="G10" s="72"/>
    </row>
    <row r="11" spans="1:7" x14ac:dyDescent="0.3">
      <c r="A11" s="90"/>
      <c r="B11" s="27" t="s">
        <v>110</v>
      </c>
      <c r="C11" s="27" t="s">
        <v>100</v>
      </c>
      <c r="D11" s="27">
        <v>0</v>
      </c>
      <c r="E11" s="26">
        <f>IFERROR(INDEX('Rate Master'!$C$2:$C$103, MATCH('PROJECT NAME NOV'!$DH15, 'Rate Master'!$D$2:$D$103,0)),0)</f>
        <v>0</v>
      </c>
      <c r="F11" s="26">
        <f>D11*E11</f>
        <v>0</v>
      </c>
      <c r="G11" s="72"/>
    </row>
    <row r="12" spans="1:7" x14ac:dyDescent="0.3">
      <c r="A12" s="90"/>
      <c r="B12" s="27" t="s">
        <v>110</v>
      </c>
      <c r="C12" s="27" t="s">
        <v>100</v>
      </c>
      <c r="D12" s="27">
        <v>0</v>
      </c>
      <c r="E12" s="26">
        <f>IFERROR(INDEX('Rate Master'!$C$2:$C$103, MATCH('PROJECT NAME NOV'!$DH16, 'Rate Master'!$D$2:$D$103,0)),0)</f>
        <v>0</v>
      </c>
      <c r="F12" s="26">
        <f>D12*E12</f>
        <v>0</v>
      </c>
      <c r="G12" s="72"/>
    </row>
    <row r="13" spans="1:7" x14ac:dyDescent="0.3">
      <c r="A13" s="90"/>
      <c r="B13" s="27" t="s">
        <v>110</v>
      </c>
      <c r="C13" s="27" t="s">
        <v>100</v>
      </c>
      <c r="D13" s="27">
        <v>0</v>
      </c>
      <c r="E13" s="26">
        <f>IFERROR(INDEX('Rate Master'!$C$2:$C$103, MATCH('PROJECT NAME NOV'!$DH17, 'Rate Master'!$D$2:$D$103,0)),0)</f>
        <v>0</v>
      </c>
      <c r="F13" s="26">
        <f>D13*E13</f>
        <v>0</v>
      </c>
      <c r="G13" s="72"/>
    </row>
    <row r="14" spans="1:7" x14ac:dyDescent="0.3">
      <c r="A14" s="90"/>
      <c r="B14" s="27" t="s">
        <v>110</v>
      </c>
      <c r="C14" s="27" t="s">
        <v>100</v>
      </c>
      <c r="D14" s="27">
        <v>0</v>
      </c>
      <c r="E14" s="26">
        <f>IFERROR(INDEX('Rate Master'!$C$2:$C$103, MATCH('PROJECT NAME NOV'!$DH18, 'Rate Master'!$D$2:$D$103,0)),0)</f>
        <v>0</v>
      </c>
      <c r="F14" s="26">
        <f>D14*E14</f>
        <v>0</v>
      </c>
      <c r="G14" s="72"/>
    </row>
    <row r="15" spans="1:7" x14ac:dyDescent="0.3">
      <c r="A15" s="90"/>
      <c r="B15" s="27" t="s">
        <v>110</v>
      </c>
      <c r="C15" s="27" t="s">
        <v>100</v>
      </c>
      <c r="D15" s="22">
        <v>0</v>
      </c>
      <c r="E15" s="26">
        <f>IFERROR(INDEX('Rate Master'!$C$2:$C$103, MATCH('PROJECT NAME NOV'!$DH19, 'Rate Master'!$D$2:$D$103,0)),0)</f>
        <v>0</v>
      </c>
      <c r="F15" s="26">
        <f>D15*E15</f>
        <v>0</v>
      </c>
      <c r="G15" s="72"/>
    </row>
    <row r="16" spans="1:7" x14ac:dyDescent="0.3">
      <c r="A16" s="90"/>
      <c r="B16" s="27" t="s">
        <v>110</v>
      </c>
      <c r="C16" s="27" t="s">
        <v>100</v>
      </c>
      <c r="D16" s="27">
        <v>0</v>
      </c>
      <c r="E16" s="26">
        <f>IFERROR(INDEX('Rate Master'!$C$2:$C$103, MATCH('PROJECT NAME NOV'!$DH20, 'Rate Master'!$D$2:$D$103,0)),0)</f>
        <v>0</v>
      </c>
      <c r="F16" s="26">
        <f>D16*E16</f>
        <v>0</v>
      </c>
      <c r="G16" s="72"/>
    </row>
    <row r="17" spans="1:7" x14ac:dyDescent="0.3">
      <c r="A17" s="90"/>
      <c r="B17" s="27" t="s">
        <v>110</v>
      </c>
      <c r="C17" s="27" t="s">
        <v>100</v>
      </c>
      <c r="D17" s="27">
        <v>0</v>
      </c>
      <c r="E17" s="26">
        <f>IFERROR(INDEX('Rate Master'!$C$2:$C$103, MATCH('PROJECT NAME NOV'!$DH21, 'Rate Master'!$D$2:$D$103,0)),0)</f>
        <v>0</v>
      </c>
      <c r="F17" s="26">
        <f>D17*E17</f>
        <v>0</v>
      </c>
      <c r="G17" s="72"/>
    </row>
    <row r="18" spans="1:7" x14ac:dyDescent="0.3">
      <c r="A18" s="90"/>
      <c r="B18" s="27" t="s">
        <v>110</v>
      </c>
      <c r="C18" s="27" t="s">
        <v>100</v>
      </c>
      <c r="D18" s="27">
        <v>0</v>
      </c>
      <c r="E18" s="26">
        <f>IFERROR(INDEX('Rate Master'!$C$2:$C$103, MATCH('PROJECT NAME NOV'!$DH22, 'Rate Master'!$D$2:$D$103,0)),0)</f>
        <v>0</v>
      </c>
      <c r="F18" s="26">
        <f>D18*E18</f>
        <v>0</v>
      </c>
      <c r="G18" s="72"/>
    </row>
    <row r="19" spans="1:7" x14ac:dyDescent="0.3">
      <c r="A19" s="90"/>
      <c r="B19" s="27" t="s">
        <v>110</v>
      </c>
      <c r="C19" s="27" t="s">
        <v>100</v>
      </c>
      <c r="D19" s="27">
        <v>0</v>
      </c>
      <c r="E19" s="26">
        <f>IFERROR(INDEX('Rate Master'!$C$2:$C$103, MATCH('PROJECT NAME NOV'!$DH23, 'Rate Master'!$D$2:$D$103,0)),0)</f>
        <v>0</v>
      </c>
      <c r="F19" s="26">
        <f>D19*E19</f>
        <v>0</v>
      </c>
      <c r="G19" s="72"/>
    </row>
    <row r="20" spans="1:7" x14ac:dyDescent="0.3">
      <c r="A20" s="90"/>
      <c r="B20" s="27" t="s">
        <v>110</v>
      </c>
      <c r="C20" s="27" t="s">
        <v>100</v>
      </c>
      <c r="D20" s="27">
        <v>0</v>
      </c>
      <c r="E20" s="26">
        <f>IFERROR(INDEX('Rate Master'!$C$2:$C$103, MATCH('PROJECT NAME NOV'!$DH24, 'Rate Master'!$D$2:$D$103,0)),0)</f>
        <v>0</v>
      </c>
      <c r="F20" s="26">
        <f>D20*E20</f>
        <v>0</v>
      </c>
      <c r="G20" s="72"/>
    </row>
    <row r="21" spans="1:7" x14ac:dyDescent="0.3">
      <c r="A21" s="92"/>
      <c r="B21" s="73"/>
      <c r="C21" s="73"/>
      <c r="D21" s="73"/>
      <c r="E21" s="74"/>
      <c r="F21" s="74"/>
      <c r="G21" s="75"/>
    </row>
    <row r="22" spans="1:7" x14ac:dyDescent="0.3">
      <c r="A22" s="168"/>
      <c r="B22" s="164"/>
      <c r="C22" s="164"/>
      <c r="D22" s="164"/>
      <c r="E22" s="169"/>
      <c r="F22" s="169"/>
      <c r="G22" s="164"/>
    </row>
    <row r="23" spans="1:7" x14ac:dyDescent="0.3">
      <c r="A23" s="168"/>
      <c r="B23" s="164"/>
      <c r="C23" s="164"/>
      <c r="D23" s="143" t="s">
        <v>138</v>
      </c>
      <c r="E23" s="172">
        <f>SUM(F3:F22)</f>
        <v>618206.80000000005</v>
      </c>
      <c r="F23" s="170"/>
      <c r="G23" s="164"/>
    </row>
    <row r="24" spans="1:7" x14ac:dyDescent="0.3">
      <c r="A24" s="168"/>
      <c r="B24" s="164"/>
      <c r="C24" s="164"/>
      <c r="D24" s="143"/>
      <c r="E24" s="171"/>
      <c r="F24" s="171"/>
      <c r="G24" s="164"/>
    </row>
    <row r="25" spans="1:7" x14ac:dyDescent="0.3">
      <c r="A25" s="168"/>
      <c r="B25" s="164"/>
      <c r="C25" s="164"/>
      <c r="D25" s="164"/>
      <c r="E25" s="169"/>
      <c r="F25" s="169"/>
      <c r="G25" s="164"/>
    </row>
    <row r="26" spans="1:7" x14ac:dyDescent="0.3">
      <c r="A26" s="168"/>
      <c r="B26" s="164"/>
      <c r="C26" s="164"/>
      <c r="D26" s="164"/>
      <c r="E26" s="169"/>
      <c r="F26" s="169"/>
      <c r="G26" s="164"/>
    </row>
    <row r="27" spans="1:7" x14ac:dyDescent="0.3">
      <c r="A27" s="168"/>
      <c r="B27" s="164"/>
      <c r="C27" s="164"/>
      <c r="D27" s="164"/>
      <c r="E27" s="169"/>
      <c r="F27" s="169"/>
      <c r="G27" s="164"/>
    </row>
    <row r="28" spans="1:7" x14ac:dyDescent="0.3">
      <c r="A28" s="168"/>
      <c r="B28" s="164"/>
      <c r="C28" s="164"/>
      <c r="D28" s="164"/>
      <c r="E28" s="169"/>
      <c r="F28" s="169"/>
      <c r="G28" s="164"/>
    </row>
    <row r="29" spans="1:7" x14ac:dyDescent="0.3">
      <c r="A29" s="168"/>
      <c r="B29" s="164"/>
      <c r="C29" s="164"/>
      <c r="D29" s="164"/>
      <c r="E29" s="169"/>
      <c r="F29" s="169"/>
      <c r="G29" s="164"/>
    </row>
    <row r="30" spans="1:7" x14ac:dyDescent="0.3">
      <c r="A30" s="168"/>
      <c r="B30" s="164"/>
      <c r="C30" s="164"/>
      <c r="D30" s="164"/>
      <c r="E30" s="169"/>
      <c r="F30" s="169"/>
      <c r="G30" s="164"/>
    </row>
    <row r="31" spans="1:7" x14ac:dyDescent="0.3">
      <c r="A31" s="168"/>
      <c r="B31" s="164"/>
      <c r="C31" s="164"/>
      <c r="D31" s="164"/>
      <c r="E31" s="169"/>
      <c r="F31" s="169"/>
      <c r="G31" s="164"/>
    </row>
    <row r="32" spans="1:7" x14ac:dyDescent="0.3">
      <c r="A32" s="168"/>
      <c r="B32" s="164"/>
      <c r="C32" s="164"/>
      <c r="D32" s="164"/>
      <c r="E32" s="169"/>
      <c r="F32" s="169"/>
      <c r="G32" s="164"/>
    </row>
    <row r="33" spans="1:7" x14ac:dyDescent="0.3">
      <c r="A33" s="168"/>
      <c r="B33" s="164"/>
      <c r="C33" s="164"/>
      <c r="D33" s="164"/>
      <c r="E33" s="169"/>
      <c r="F33" s="169"/>
      <c r="G33" s="164"/>
    </row>
    <row r="34" spans="1:7" x14ac:dyDescent="0.3">
      <c r="A34" s="168"/>
      <c r="B34" s="164"/>
      <c r="C34" s="164"/>
      <c r="D34" s="164"/>
      <c r="E34" s="169"/>
      <c r="F34" s="169"/>
      <c r="G34" s="164"/>
    </row>
    <row r="35" spans="1:7" x14ac:dyDescent="0.3">
      <c r="A35" s="168"/>
      <c r="B35" s="164"/>
      <c r="C35" s="164"/>
      <c r="D35" s="164"/>
      <c r="E35" s="169"/>
      <c r="F35" s="169"/>
      <c r="G35" s="164"/>
    </row>
    <row r="36" spans="1:7" x14ac:dyDescent="0.3">
      <c r="A36" s="168"/>
      <c r="B36" s="164"/>
      <c r="C36" s="164"/>
      <c r="D36" s="164"/>
      <c r="E36" s="169"/>
      <c r="F36" s="169"/>
      <c r="G36" s="164"/>
    </row>
    <row r="37" spans="1:7" x14ac:dyDescent="0.3">
      <c r="A37" s="168"/>
      <c r="B37" s="164"/>
      <c r="C37" s="164"/>
      <c r="D37" s="164"/>
      <c r="E37" s="169"/>
      <c r="F37" s="169"/>
      <c r="G37" s="164"/>
    </row>
    <row r="38" spans="1:7" x14ac:dyDescent="0.3">
      <c r="A38" s="168"/>
      <c r="B38" s="164"/>
      <c r="C38" s="164"/>
      <c r="D38" s="164"/>
      <c r="E38" s="169"/>
      <c r="F38" s="169"/>
      <c r="G38" s="164"/>
    </row>
    <row r="39" spans="1:7" x14ac:dyDescent="0.3">
      <c r="A39" s="168"/>
      <c r="B39" s="164"/>
      <c r="C39" s="164"/>
      <c r="D39" s="164"/>
      <c r="E39" s="169"/>
      <c r="F39" s="169"/>
      <c r="G39" s="164"/>
    </row>
    <row r="40" spans="1:7" x14ac:dyDescent="0.3">
      <c r="A40" s="168"/>
      <c r="B40" s="164"/>
      <c r="C40" s="164"/>
      <c r="D40" s="164"/>
      <c r="E40" s="169"/>
      <c r="F40" s="169"/>
      <c r="G40" s="164"/>
    </row>
    <row r="41" spans="1:7" x14ac:dyDescent="0.3">
      <c r="A41" s="168"/>
      <c r="B41" s="164"/>
      <c r="C41" s="164"/>
      <c r="D41" s="164"/>
      <c r="E41" s="169"/>
      <c r="F41" s="169"/>
      <c r="G41" s="164"/>
    </row>
    <row r="42" spans="1:7" x14ac:dyDescent="0.3">
      <c r="A42" s="168"/>
      <c r="B42" s="164"/>
      <c r="C42" s="164"/>
      <c r="D42" s="164"/>
      <c r="E42" s="169"/>
      <c r="F42" s="169"/>
      <c r="G42" s="164"/>
    </row>
    <row r="43" spans="1:7" x14ac:dyDescent="0.3">
      <c r="A43" s="168"/>
      <c r="B43" s="164"/>
      <c r="C43" s="164"/>
      <c r="D43" s="164"/>
      <c r="E43" s="169"/>
      <c r="F43" s="169"/>
      <c r="G43" s="164"/>
    </row>
    <row r="44" spans="1:7" x14ac:dyDescent="0.3">
      <c r="A44" s="168"/>
      <c r="B44" s="164"/>
      <c r="C44" s="164"/>
      <c r="D44" s="164"/>
      <c r="E44" s="169"/>
      <c r="F44" s="169"/>
      <c r="G44" s="164"/>
    </row>
    <row r="45" spans="1:7" x14ac:dyDescent="0.3">
      <c r="A45" s="168"/>
      <c r="B45" s="164"/>
      <c r="C45" s="164"/>
      <c r="D45" s="164"/>
      <c r="E45" s="169"/>
      <c r="F45" s="169"/>
      <c r="G45" s="164"/>
    </row>
    <row r="46" spans="1:7" x14ac:dyDescent="0.3">
      <c r="A46" s="168"/>
      <c r="B46" s="164"/>
      <c r="C46" s="164"/>
      <c r="D46" s="164"/>
      <c r="E46" s="169"/>
      <c r="F46" s="169"/>
      <c r="G46" s="164"/>
    </row>
    <row r="47" spans="1:7" x14ac:dyDescent="0.3">
      <c r="A47" s="168"/>
      <c r="B47" s="164"/>
      <c r="C47" s="164"/>
      <c r="D47" s="164"/>
      <c r="E47" s="169"/>
      <c r="F47" s="169"/>
      <c r="G47" s="164"/>
    </row>
    <row r="48" spans="1:7" ht="21" x14ac:dyDescent="0.4">
      <c r="G48" s="167"/>
    </row>
    <row r="50" spans="4:6" ht="21" x14ac:dyDescent="0.4">
      <c r="D50" s="95"/>
      <c r="E50" s="94"/>
      <c r="F50" s="94"/>
    </row>
    <row r="51" spans="4:6" ht="21" x14ac:dyDescent="0.4">
      <c r="D51" s="95"/>
      <c r="E51" s="94"/>
      <c r="F51" s="94"/>
    </row>
  </sheetData>
  <mergeCells count="3">
    <mergeCell ref="E23:F24"/>
    <mergeCell ref="D23:D24"/>
    <mergeCell ref="B1:E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'Rate Master'!$B:$B</xm:f>
          </x14:formula1>
          <xm:sqref>C3:C22</xm:sqref>
        </x14:dataValidation>
        <x14:dataValidation type="list" allowBlank="1" showInputMessage="1" showErrorMessage="1" xr:uid="{00000000-0002-0000-0000-000000000000}">
          <x14:formula1>
            <xm:f>'Rate Master'!$A:$A</xm:f>
          </x14:formula1>
          <xm:sqref>B3:B22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H11" sqref="H11"/>
    </sheetView>
  </sheetViews>
  <sheetFormatPr defaultRowHeight="14.4" x14ac:dyDescent="0.3"/>
  <cols>
    <col min="1" max="1" width="27.44140625" style="22" bestFit="1" customWidth="1"/>
    <col min="2" max="2" width="6.33203125" style="22" customWidth="1"/>
    <col min="3" max="3" width="11.5546875" style="22" customWidth="1"/>
  </cols>
  <sheetData>
    <row r="1" spans="1:3" ht="18" x14ac:dyDescent="0.3">
      <c r="A1" s="147" t="s">
        <v>62</v>
      </c>
      <c r="B1" s="147"/>
      <c r="C1" s="147"/>
    </row>
    <row r="2" spans="1:3" ht="26.25" customHeight="1" x14ac:dyDescent="0.3">
      <c r="A2" s="23" t="s">
        <v>59</v>
      </c>
      <c r="B2" s="23" t="s">
        <v>64</v>
      </c>
      <c r="C2" s="24" t="s">
        <v>60</v>
      </c>
    </row>
    <row r="3" spans="1:3" ht="28.8" x14ac:dyDescent="0.3">
      <c r="A3" s="25" t="s">
        <v>61</v>
      </c>
      <c r="B3" s="25"/>
      <c r="C3" s="26">
        <v>2760</v>
      </c>
    </row>
    <row r="4" spans="1:3" x14ac:dyDescent="0.3">
      <c r="A4" s="27" t="s">
        <v>63</v>
      </c>
      <c r="B4" s="27">
        <v>24</v>
      </c>
      <c r="C4" s="26">
        <v>8820</v>
      </c>
    </row>
    <row r="5" spans="1:3" x14ac:dyDescent="0.3">
      <c r="A5" s="27"/>
      <c r="B5" s="27"/>
      <c r="C5" s="26"/>
    </row>
    <row r="6" spans="1:3" x14ac:dyDescent="0.3">
      <c r="A6" s="27"/>
      <c r="B6" s="27"/>
      <c r="C6" s="26"/>
    </row>
    <row r="7" spans="1:3" x14ac:dyDescent="0.3">
      <c r="A7" s="27"/>
      <c r="B7" s="27"/>
      <c r="C7" s="26"/>
    </row>
    <row r="8" spans="1:3" x14ac:dyDescent="0.3">
      <c r="A8" s="27"/>
      <c r="B8" s="27"/>
      <c r="C8" s="26"/>
    </row>
    <row r="9" spans="1:3" x14ac:dyDescent="0.3">
      <c r="A9" s="27"/>
      <c r="B9" s="27"/>
      <c r="C9" s="26"/>
    </row>
    <row r="10" spans="1:3" x14ac:dyDescent="0.3">
      <c r="A10" s="27"/>
      <c r="B10" s="27"/>
      <c r="C10" s="26"/>
    </row>
    <row r="11" spans="1:3" x14ac:dyDescent="0.3">
      <c r="A11" s="27"/>
      <c r="B11" s="27"/>
      <c r="C11" s="26"/>
    </row>
    <row r="12" spans="1:3" x14ac:dyDescent="0.3">
      <c r="A12" s="27"/>
      <c r="B12" s="27"/>
      <c r="C12" s="26"/>
    </row>
    <row r="13" spans="1:3" x14ac:dyDescent="0.3">
      <c r="A13" s="27"/>
      <c r="B13" s="27"/>
      <c r="C13" s="26"/>
    </row>
    <row r="14" spans="1:3" x14ac:dyDescent="0.3">
      <c r="A14" s="27"/>
      <c r="B14" s="27"/>
      <c r="C14" s="26"/>
    </row>
    <row r="15" spans="1:3" ht="18" x14ac:dyDescent="0.3">
      <c r="A15" s="29" t="s">
        <v>96</v>
      </c>
      <c r="C15" s="203">
        <f>SUM(C3:C14)</f>
        <v>11580</v>
      </c>
    </row>
  </sheetData>
  <mergeCells count="1">
    <mergeCell ref="A1:C1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showGridLines="0" workbookViewId="0">
      <selection activeCell="H13" sqref="H13"/>
    </sheetView>
  </sheetViews>
  <sheetFormatPr defaultRowHeight="14.4" x14ac:dyDescent="0.3"/>
  <cols>
    <col min="1" max="1" width="18.88671875" bestFit="1" customWidth="1"/>
    <col min="2" max="2" width="16.44140625" style="199" bestFit="1" customWidth="1"/>
    <col min="3" max="3" width="15" style="199" bestFit="1" customWidth="1"/>
    <col min="4" max="4" width="11.109375" customWidth="1"/>
    <col min="5" max="5" width="18.88671875" bestFit="1" customWidth="1"/>
    <col min="6" max="6" width="16.44140625" style="199" bestFit="1" customWidth="1"/>
    <col min="7" max="7" width="15" style="199" bestFit="1" customWidth="1"/>
    <col min="8" max="8" width="28.33203125" bestFit="1" customWidth="1"/>
  </cols>
  <sheetData>
    <row r="1" spans="1:8" x14ac:dyDescent="0.3">
      <c r="A1" s="16" t="s">
        <v>6</v>
      </c>
      <c r="B1" s="197" t="s">
        <v>25</v>
      </c>
      <c r="C1" s="197" t="s">
        <v>26</v>
      </c>
      <c r="D1" s="3"/>
      <c r="E1" s="16" t="s">
        <v>5</v>
      </c>
      <c r="F1" s="197" t="s">
        <v>25</v>
      </c>
      <c r="G1" s="197" t="s">
        <v>26</v>
      </c>
      <c r="H1" s="16" t="s">
        <v>34</v>
      </c>
    </row>
    <row r="2" spans="1:8" x14ac:dyDescent="0.3">
      <c r="A2" s="3" t="s">
        <v>28</v>
      </c>
      <c r="B2" s="198">
        <f>C2/J$22</f>
        <v>106.25</v>
      </c>
      <c r="C2" s="198">
        <v>850</v>
      </c>
      <c r="D2" s="3"/>
      <c r="E2" s="3" t="s">
        <v>38</v>
      </c>
      <c r="F2" s="198">
        <f t="shared" ref="F2:F13" si="0">G2/J$22</f>
        <v>106.25</v>
      </c>
      <c r="G2" s="198">
        <v>850</v>
      </c>
      <c r="H2" s="3" t="str">
        <f>E2 &amp; "-" &amp; A2</f>
        <v xml:space="preserve">Ramakanth-Barbender Fitter </v>
      </c>
    </row>
    <row r="3" spans="1:8" x14ac:dyDescent="0.3">
      <c r="A3" s="3" t="s">
        <v>29</v>
      </c>
      <c r="B3" s="198">
        <v>70</v>
      </c>
      <c r="C3" s="198">
        <v>650</v>
      </c>
      <c r="D3" s="3"/>
      <c r="E3" s="3" t="s">
        <v>38</v>
      </c>
      <c r="F3" s="198">
        <f t="shared" si="0"/>
        <v>81.25</v>
      </c>
      <c r="G3" s="198">
        <v>650</v>
      </c>
      <c r="H3" s="3" t="str">
        <f t="shared" ref="H3:H13" si="1">E3 &amp; "-" &amp; A3</f>
        <v>Ramakanth-Barbender Helper</v>
      </c>
    </row>
    <row r="4" spans="1:8" x14ac:dyDescent="0.3">
      <c r="A4" s="3" t="s">
        <v>19</v>
      </c>
      <c r="B4" s="198">
        <f t="shared" ref="B4:B13" si="2">C4/J$22</f>
        <v>106.25</v>
      </c>
      <c r="C4" s="198">
        <v>850</v>
      </c>
      <c r="D4" s="3"/>
      <c r="E4" s="3" t="s">
        <v>38</v>
      </c>
      <c r="F4" s="198">
        <f t="shared" si="0"/>
        <v>106.25</v>
      </c>
      <c r="G4" s="198">
        <v>850</v>
      </c>
      <c r="H4" s="3" t="str">
        <f t="shared" si="1"/>
        <v>Ramakanth-Carpenter</v>
      </c>
    </row>
    <row r="5" spans="1:8" x14ac:dyDescent="0.3">
      <c r="A5" s="3" t="s">
        <v>30</v>
      </c>
      <c r="B5" s="198">
        <f t="shared" si="2"/>
        <v>81.25</v>
      </c>
      <c r="C5" s="198">
        <v>650</v>
      </c>
      <c r="D5" s="3"/>
      <c r="E5" s="3" t="s">
        <v>38</v>
      </c>
      <c r="F5" s="198">
        <f t="shared" si="0"/>
        <v>81.25</v>
      </c>
      <c r="G5" s="198">
        <v>650</v>
      </c>
      <c r="H5" s="3" t="str">
        <f t="shared" si="1"/>
        <v>Ramakanth-Carpenter Helper</v>
      </c>
    </row>
    <row r="6" spans="1:8" x14ac:dyDescent="0.3">
      <c r="A6" s="3" t="s">
        <v>28</v>
      </c>
      <c r="B6" s="198">
        <f t="shared" si="2"/>
        <v>112.5</v>
      </c>
      <c r="C6" s="198">
        <v>900</v>
      </c>
      <c r="D6" s="3"/>
      <c r="E6" s="3" t="s">
        <v>83</v>
      </c>
      <c r="F6" s="198">
        <f t="shared" si="0"/>
        <v>112.5</v>
      </c>
      <c r="G6" s="198">
        <v>900</v>
      </c>
      <c r="H6" s="3" t="str">
        <f t="shared" si="1"/>
        <v xml:space="preserve">Ganesh-Barbender Fitter </v>
      </c>
    </row>
    <row r="7" spans="1:8" x14ac:dyDescent="0.3">
      <c r="A7" s="3" t="s">
        <v>29</v>
      </c>
      <c r="B7" s="198">
        <f t="shared" si="2"/>
        <v>106.25</v>
      </c>
      <c r="C7" s="200">
        <v>850</v>
      </c>
      <c r="D7" s="3"/>
      <c r="E7" s="3" t="s">
        <v>83</v>
      </c>
      <c r="F7" s="198">
        <f t="shared" si="0"/>
        <v>106.25</v>
      </c>
      <c r="G7" s="198">
        <v>850</v>
      </c>
      <c r="H7" s="3" t="str">
        <f t="shared" si="1"/>
        <v>Ganesh-Barbender Helper</v>
      </c>
    </row>
    <row r="8" spans="1:8" x14ac:dyDescent="0.3">
      <c r="A8" s="3" t="s">
        <v>28</v>
      </c>
      <c r="B8" s="198">
        <f t="shared" si="2"/>
        <v>112.5</v>
      </c>
      <c r="C8" s="200">
        <v>900</v>
      </c>
      <c r="D8" s="3"/>
      <c r="E8" s="3" t="s">
        <v>65</v>
      </c>
      <c r="F8" s="198">
        <f t="shared" si="0"/>
        <v>112.5</v>
      </c>
      <c r="G8" s="198">
        <v>900</v>
      </c>
      <c r="H8" s="3" t="str">
        <f t="shared" si="1"/>
        <v xml:space="preserve">Rajan-Barbender Fitter </v>
      </c>
    </row>
    <row r="9" spans="1:8" x14ac:dyDescent="0.3">
      <c r="A9" s="3" t="s">
        <v>29</v>
      </c>
      <c r="B9" s="198">
        <f t="shared" si="2"/>
        <v>106.25</v>
      </c>
      <c r="C9" s="198">
        <v>850</v>
      </c>
      <c r="D9" s="3"/>
      <c r="E9" s="3" t="s">
        <v>65</v>
      </c>
      <c r="F9" s="198">
        <f t="shared" si="0"/>
        <v>106.25</v>
      </c>
      <c r="G9" s="198">
        <v>850</v>
      </c>
      <c r="H9" s="3" t="str">
        <f t="shared" si="1"/>
        <v>Rajan-Barbender Helper</v>
      </c>
    </row>
    <row r="10" spans="1:8" x14ac:dyDescent="0.3">
      <c r="A10" s="3"/>
      <c r="B10" s="198">
        <f t="shared" si="2"/>
        <v>0</v>
      </c>
      <c r="C10" s="198"/>
      <c r="D10" s="3"/>
      <c r="E10" s="3"/>
      <c r="F10" s="198">
        <f t="shared" si="0"/>
        <v>0</v>
      </c>
      <c r="G10" s="198"/>
      <c r="H10" s="3" t="str">
        <f t="shared" si="1"/>
        <v>-</v>
      </c>
    </row>
    <row r="11" spans="1:8" x14ac:dyDescent="0.3">
      <c r="A11" s="3"/>
      <c r="B11" s="198">
        <f t="shared" si="2"/>
        <v>0</v>
      </c>
      <c r="C11" s="198"/>
      <c r="D11" s="16"/>
      <c r="E11" s="3"/>
      <c r="F11" s="198">
        <f t="shared" si="0"/>
        <v>0</v>
      </c>
      <c r="G11" s="198"/>
      <c r="H11" s="3" t="str">
        <f t="shared" si="1"/>
        <v>-</v>
      </c>
    </row>
    <row r="12" spans="1:8" x14ac:dyDescent="0.3">
      <c r="A12" s="3"/>
      <c r="B12" s="198">
        <f t="shared" si="2"/>
        <v>0</v>
      </c>
      <c r="C12" s="198"/>
      <c r="D12" s="3"/>
      <c r="E12" s="3"/>
      <c r="F12" s="198">
        <f t="shared" si="0"/>
        <v>0</v>
      </c>
      <c r="G12" s="198"/>
      <c r="H12" s="3" t="str">
        <f t="shared" si="1"/>
        <v>-</v>
      </c>
    </row>
    <row r="13" spans="1:8" x14ac:dyDescent="0.3">
      <c r="A13" s="3"/>
      <c r="B13" s="198">
        <f t="shared" si="2"/>
        <v>0</v>
      </c>
      <c r="C13" s="198"/>
      <c r="D13" s="3"/>
      <c r="E13" s="3"/>
      <c r="F13" s="198">
        <f t="shared" si="0"/>
        <v>0</v>
      </c>
      <c r="G13" s="198"/>
      <c r="H13" s="3" t="str">
        <f t="shared" si="1"/>
        <v>-</v>
      </c>
    </row>
    <row r="22" spans="10:19" x14ac:dyDescent="0.3">
      <c r="J22">
        <v>8</v>
      </c>
    </row>
    <row r="27" spans="10:19" x14ac:dyDescent="0.3">
      <c r="S27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selection activeCell="B20" sqref="B20:B21"/>
    </sheetView>
  </sheetViews>
  <sheetFormatPr defaultColWidth="9.109375" defaultRowHeight="14.4" x14ac:dyDescent="0.3"/>
  <cols>
    <col min="1" max="1" width="61.33203125" style="76" bestFit="1" customWidth="1"/>
    <col min="2" max="2" width="23.88671875" style="22" customWidth="1"/>
    <col min="3" max="3" width="20.109375" style="30" customWidth="1"/>
    <col min="4" max="4" width="57" style="22" customWidth="1"/>
    <col min="5" max="5" width="8.88671875" customWidth="1"/>
    <col min="6" max="16384" width="9.109375" style="22"/>
  </cols>
  <sheetData>
    <row r="1" spans="1:9" ht="21.75" customHeight="1" x14ac:dyDescent="0.3">
      <c r="A1" s="78" t="s">
        <v>110</v>
      </c>
      <c r="B1" s="78" t="s">
        <v>100</v>
      </c>
      <c r="C1" s="79" t="s">
        <v>114</v>
      </c>
      <c r="D1" s="78" t="s">
        <v>34</v>
      </c>
      <c r="H1" s="93"/>
      <c r="I1" s="93"/>
    </row>
    <row r="2" spans="1:9" x14ac:dyDescent="0.3">
      <c r="A2" s="27" t="s">
        <v>148</v>
      </c>
      <c r="B2" s="27" t="s">
        <v>106</v>
      </c>
      <c r="C2" s="26">
        <v>295</v>
      </c>
      <c r="D2" s="27" t="str">
        <f t="shared" ref="D2:D12" si="0">A2 &amp; "-" &amp; B2</f>
        <v>L - Shuttering-Footings in Sub Str (Foundation)-Sqm</v>
      </c>
    </row>
    <row r="3" spans="1:9" x14ac:dyDescent="0.3">
      <c r="A3" s="27" t="s">
        <v>146</v>
      </c>
      <c r="B3" s="27" t="s">
        <v>106</v>
      </c>
      <c r="C3" s="26">
        <v>305</v>
      </c>
      <c r="D3" s="27" t="str">
        <f t="shared" si="0"/>
        <v>L - Shuttering-Footings in Sub Str (Greade Slab to Upper Basement)-Sqm</v>
      </c>
    </row>
    <row r="4" spans="1:9" x14ac:dyDescent="0.3">
      <c r="A4" s="27" t="s">
        <v>147</v>
      </c>
      <c r="B4" s="27" t="s">
        <v>106</v>
      </c>
      <c r="C4" s="26">
        <v>315</v>
      </c>
      <c r="D4" s="27" t="str">
        <f t="shared" si="0"/>
        <v>L - Shuttering Work (Upper Basement to Podium)-Sqm</v>
      </c>
    </row>
    <row r="5" spans="1:9" x14ac:dyDescent="0.3">
      <c r="A5" s="27" t="s">
        <v>149</v>
      </c>
      <c r="B5" s="27" t="s">
        <v>106</v>
      </c>
      <c r="C5" s="26">
        <v>80</v>
      </c>
      <c r="D5" s="27" t="str">
        <f t="shared" si="0"/>
        <v>L - Making Plywood Shuttering Board-Sqm</v>
      </c>
    </row>
    <row r="6" spans="1:9" x14ac:dyDescent="0.3">
      <c r="A6" s="27" t="s">
        <v>154</v>
      </c>
      <c r="B6" s="27" t="s">
        <v>106</v>
      </c>
      <c r="C6" s="26">
        <v>240</v>
      </c>
      <c r="D6" s="27" t="str">
        <f t="shared" si="0"/>
        <v>L - Shuttering Work (Site Infra)-Sqm</v>
      </c>
    </row>
    <row r="7" spans="1:9" x14ac:dyDescent="0.3">
      <c r="A7" s="27" t="s">
        <v>153</v>
      </c>
      <c r="B7" s="27" t="s">
        <v>166</v>
      </c>
      <c r="C7" s="26">
        <v>5500</v>
      </c>
      <c r="D7" s="27" t="str">
        <f t="shared" si="0"/>
        <v>L - Reinforcement Work (Site Infra)-MT</v>
      </c>
    </row>
    <row r="8" spans="1:9" x14ac:dyDescent="0.3">
      <c r="A8" s="27" t="s">
        <v>153</v>
      </c>
      <c r="B8" s="27" t="s">
        <v>166</v>
      </c>
      <c r="C8" s="26">
        <v>175</v>
      </c>
      <c r="D8" s="27" t="str">
        <f t="shared" si="0"/>
        <v>L - Reinforcement Work (Site Infra)-MT</v>
      </c>
    </row>
    <row r="9" spans="1:9" x14ac:dyDescent="0.3">
      <c r="A9" s="27" t="s">
        <v>157</v>
      </c>
      <c r="B9" s="27" t="s">
        <v>113</v>
      </c>
      <c r="C9" s="26">
        <v>25</v>
      </c>
      <c r="D9" s="27" t="str">
        <f t="shared" si="0"/>
        <v>L - Fixing &amp; Removing of Staging-Cum</v>
      </c>
    </row>
    <row r="10" spans="1:9" x14ac:dyDescent="0.3">
      <c r="A10" s="27" t="s">
        <v>158</v>
      </c>
      <c r="B10" s="27" t="s">
        <v>167</v>
      </c>
      <c r="C10" s="26">
        <v>6</v>
      </c>
      <c r="D10" s="27" t="str">
        <f t="shared" si="0"/>
        <v>L - Fixing of Challi -EA</v>
      </c>
    </row>
    <row r="11" spans="1:9" x14ac:dyDescent="0.3">
      <c r="A11" s="27" t="s">
        <v>161</v>
      </c>
      <c r="B11" s="27" t="s">
        <v>166</v>
      </c>
      <c r="C11" s="26">
        <v>8000</v>
      </c>
      <c r="D11" s="27" t="str">
        <f t="shared" si="0"/>
        <v>L - Reinf Steel Work-MT</v>
      </c>
    </row>
    <row r="12" spans="1:9" x14ac:dyDescent="0.3">
      <c r="A12" s="27" t="s">
        <v>162</v>
      </c>
      <c r="B12" s="27" t="s">
        <v>166</v>
      </c>
      <c r="C12" s="26">
        <v>1000</v>
      </c>
      <c r="D12" s="27" t="str">
        <f t="shared" si="0"/>
        <v>L - Scrap Steel Segregation-MT</v>
      </c>
    </row>
    <row r="13" spans="1:9" x14ac:dyDescent="0.3">
      <c r="A13" s="77"/>
      <c r="B13" s="27"/>
      <c r="C13" s="26"/>
      <c r="D13" s="27"/>
    </row>
    <row r="14" spans="1:9" x14ac:dyDescent="0.3">
      <c r="A14" s="77"/>
      <c r="B14" s="27"/>
      <c r="C14" s="26"/>
      <c r="D14" s="27"/>
    </row>
    <row r="15" spans="1:9" x14ac:dyDescent="0.3">
      <c r="A15" s="77"/>
      <c r="B15" s="27"/>
      <c r="C15" s="26"/>
      <c r="D15" s="27"/>
    </row>
    <row r="16" spans="1:9" x14ac:dyDescent="0.3">
      <c r="A16" s="77"/>
      <c r="B16" s="27"/>
      <c r="C16" s="26"/>
      <c r="D16" s="27"/>
    </row>
    <row r="17" spans="1:4" x14ac:dyDescent="0.3">
      <c r="A17" s="77"/>
      <c r="B17" s="27"/>
      <c r="C17" s="26"/>
      <c r="D17" s="27"/>
    </row>
    <row r="18" spans="1:4" x14ac:dyDescent="0.3">
      <c r="A18" s="77"/>
      <c r="B18" s="27"/>
      <c r="C18" s="26"/>
      <c r="D18" s="27"/>
    </row>
    <row r="19" spans="1:4" x14ac:dyDescent="0.3">
      <c r="A19" s="77"/>
      <c r="B19" s="27"/>
      <c r="C19" s="26"/>
      <c r="D19" s="27"/>
    </row>
    <row r="20" spans="1:4" x14ac:dyDescent="0.3">
      <c r="A20" s="77"/>
      <c r="B20" s="27"/>
      <c r="C20" s="26"/>
      <c r="D20" s="27"/>
    </row>
    <row r="21" spans="1:4" x14ac:dyDescent="0.3">
      <c r="A21" s="77"/>
      <c r="B21" s="27"/>
      <c r="C21" s="26"/>
      <c r="D21" s="27"/>
    </row>
    <row r="22" spans="1:4" x14ac:dyDescent="0.3">
      <c r="A22" s="77"/>
      <c r="B22" s="27"/>
      <c r="C22" s="26"/>
      <c r="D22" s="27"/>
    </row>
  </sheetData>
  <dataConsolidate link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0"/>
  <sheetViews>
    <sheetView showGridLines="0" workbookViewId="0">
      <pane xSplit="5" ySplit="1" topLeftCell="AJ2" activePane="bottomRight" state="frozen"/>
      <selection pane="topRight" activeCell="F1" sqref="F1"/>
      <selection pane="bottomLeft" activeCell="A2" sqref="A2"/>
      <selection pane="bottomRight" sqref="A1:B1"/>
    </sheetView>
  </sheetViews>
  <sheetFormatPr defaultColWidth="9.109375" defaultRowHeight="14.4" x14ac:dyDescent="0.3"/>
  <cols>
    <col min="1" max="1" width="14.44140625" style="22" bestFit="1" customWidth="1"/>
    <col min="2" max="2" width="61.33203125" style="22" bestFit="1" customWidth="1"/>
    <col min="3" max="3" width="6.44140625" style="22" bestFit="1" customWidth="1"/>
    <col min="4" max="4" width="6.88671875" style="22" bestFit="1" customWidth="1"/>
    <col min="5" max="5" width="12.5546875" style="22" hidden="1" customWidth="1"/>
    <col min="6" max="35" width="10.44140625" style="22" hidden="1" customWidth="1"/>
    <col min="36" max="36" width="10.44140625" style="22" customWidth="1"/>
    <col min="37" max="39" width="10.44140625" style="22" bestFit="1" customWidth="1"/>
    <col min="40" max="40" width="11.33203125" style="22" customWidth="1"/>
    <col min="41" max="41" width="14.109375" style="22" customWidth="1"/>
    <col min="42" max="16384" width="9.109375" style="22"/>
  </cols>
  <sheetData>
    <row r="1" spans="1:41" ht="22.5" customHeight="1" x14ac:dyDescent="0.3">
      <c r="A1" s="202" t="s">
        <v>175</v>
      </c>
      <c r="B1" s="202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</row>
    <row r="2" spans="1:41" ht="36.75" customHeight="1" x14ac:dyDescent="0.3">
      <c r="A2" s="96" t="s">
        <v>163</v>
      </c>
      <c r="B2" s="96" t="s">
        <v>164</v>
      </c>
      <c r="C2" s="107" t="s">
        <v>170</v>
      </c>
      <c r="D2" s="96" t="s">
        <v>165</v>
      </c>
      <c r="E2" s="108" t="s">
        <v>168</v>
      </c>
      <c r="F2" s="109">
        <v>45962</v>
      </c>
      <c r="G2" s="109">
        <v>45963</v>
      </c>
      <c r="H2" s="109">
        <v>45964</v>
      </c>
      <c r="I2" s="109">
        <v>45965</v>
      </c>
      <c r="J2" s="109">
        <v>45966</v>
      </c>
      <c r="K2" s="109">
        <v>45967</v>
      </c>
      <c r="L2" s="110" t="s">
        <v>171</v>
      </c>
      <c r="M2" s="109">
        <v>45968</v>
      </c>
      <c r="N2" s="109">
        <v>45969</v>
      </c>
      <c r="O2" s="109">
        <v>45970</v>
      </c>
      <c r="P2" s="109">
        <v>45971</v>
      </c>
      <c r="Q2" s="109">
        <v>45972</v>
      </c>
      <c r="R2" s="109">
        <v>45973</v>
      </c>
      <c r="S2" s="109">
        <v>45974</v>
      </c>
      <c r="T2" s="110" t="s">
        <v>171</v>
      </c>
      <c r="U2" s="109">
        <v>45975</v>
      </c>
      <c r="V2" s="109">
        <v>45976</v>
      </c>
      <c r="W2" s="109">
        <v>45977</v>
      </c>
      <c r="X2" s="109">
        <v>45978</v>
      </c>
      <c r="Y2" s="109">
        <v>45979</v>
      </c>
      <c r="Z2" s="109">
        <v>45980</v>
      </c>
      <c r="AA2" s="109">
        <v>45981</v>
      </c>
      <c r="AB2" s="110" t="s">
        <v>171</v>
      </c>
      <c r="AC2" s="109">
        <v>45982</v>
      </c>
      <c r="AD2" s="109">
        <v>45983</v>
      </c>
      <c r="AE2" s="109">
        <v>45984</v>
      </c>
      <c r="AF2" s="109">
        <v>45985</v>
      </c>
      <c r="AG2" s="109">
        <v>45986</v>
      </c>
      <c r="AH2" s="109">
        <v>45987</v>
      </c>
      <c r="AI2" s="109">
        <v>45988</v>
      </c>
      <c r="AJ2" s="110" t="s">
        <v>171</v>
      </c>
      <c r="AK2" s="109">
        <v>45989</v>
      </c>
      <c r="AL2" s="109">
        <v>45990</v>
      </c>
      <c r="AM2" s="109">
        <v>45991</v>
      </c>
      <c r="AN2" s="110" t="s">
        <v>171</v>
      </c>
      <c r="AO2" s="111" t="s">
        <v>177</v>
      </c>
    </row>
    <row r="3" spans="1:41" x14ac:dyDescent="0.3">
      <c r="A3" s="111" t="s">
        <v>150</v>
      </c>
      <c r="B3" s="111" t="s">
        <v>145</v>
      </c>
      <c r="C3" s="111"/>
      <c r="D3" s="111"/>
      <c r="E3" s="112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1:41" x14ac:dyDescent="0.3">
      <c r="A4" s="27">
        <v>1</v>
      </c>
      <c r="B4" s="27" t="s">
        <v>148</v>
      </c>
      <c r="C4" s="27">
        <v>500</v>
      </c>
      <c r="D4" s="27" t="s">
        <v>106</v>
      </c>
      <c r="E4" s="26">
        <v>295</v>
      </c>
      <c r="F4" s="27"/>
      <c r="G4" s="27"/>
      <c r="H4" s="27"/>
      <c r="I4" s="27"/>
      <c r="J4" s="27"/>
      <c r="K4" s="27"/>
      <c r="L4" s="27">
        <f ca="1">SUM(F4:M4)</f>
        <v>0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>
        <v>213.04</v>
      </c>
      <c r="AK4" s="27"/>
      <c r="AL4" s="27"/>
      <c r="AM4" s="27"/>
      <c r="AN4" s="27"/>
      <c r="AO4" s="27">
        <f>C4-AJ4</f>
        <v>286.96000000000004</v>
      </c>
    </row>
    <row r="5" spans="1:41" x14ac:dyDescent="0.3">
      <c r="A5" s="27">
        <v>2</v>
      </c>
      <c r="B5" s="27" t="s">
        <v>146</v>
      </c>
      <c r="C5" s="27">
        <v>500</v>
      </c>
      <c r="D5" s="27" t="s">
        <v>106</v>
      </c>
      <c r="E5" s="26">
        <v>305</v>
      </c>
      <c r="F5" s="27"/>
      <c r="G5" s="27"/>
      <c r="H5" s="27"/>
      <c r="I5" s="27"/>
      <c r="J5" s="27"/>
      <c r="K5" s="27"/>
      <c r="L5" s="27">
        <f ca="1">SUM(F5:M5)</f>
        <v>0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>
        <f t="shared" ref="AO5:AO20" si="0">C5-AJ5</f>
        <v>500</v>
      </c>
    </row>
    <row r="6" spans="1:41" x14ac:dyDescent="0.3">
      <c r="A6" s="27">
        <v>3</v>
      </c>
      <c r="B6" s="27" t="s">
        <v>147</v>
      </c>
      <c r="C6" s="27">
        <v>1500</v>
      </c>
      <c r="D6" s="27" t="s">
        <v>106</v>
      </c>
      <c r="E6" s="26">
        <v>315</v>
      </c>
      <c r="F6" s="27"/>
      <c r="G6" s="27"/>
      <c r="H6" s="27"/>
      <c r="I6" s="27"/>
      <c r="J6" s="27"/>
      <c r="K6" s="27"/>
      <c r="L6" s="27">
        <f ca="1">SUM(F6:M6)</f>
        <v>0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>
        <f t="shared" si="0"/>
        <v>1500</v>
      </c>
    </row>
    <row r="7" spans="1:41" x14ac:dyDescent="0.3">
      <c r="A7" s="27">
        <v>4</v>
      </c>
      <c r="B7" s="27" t="s">
        <v>149</v>
      </c>
      <c r="C7" s="27">
        <v>1000</v>
      </c>
      <c r="D7" s="27" t="s">
        <v>106</v>
      </c>
      <c r="E7" s="26">
        <v>80</v>
      </c>
      <c r="F7" s="27"/>
      <c r="G7" s="27"/>
      <c r="H7" s="27"/>
      <c r="I7" s="27"/>
      <c r="J7" s="27"/>
      <c r="K7" s="27"/>
      <c r="L7" s="27">
        <f ca="1">SUM(F7:M7)</f>
        <v>0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>
        <f t="shared" si="0"/>
        <v>1000</v>
      </c>
    </row>
    <row r="8" spans="1:41" x14ac:dyDescent="0.3">
      <c r="A8" s="27"/>
      <c r="B8" s="27"/>
      <c r="C8" s="27"/>
      <c r="D8" s="27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</row>
    <row r="9" spans="1:41" x14ac:dyDescent="0.3">
      <c r="A9" s="111" t="s">
        <v>151</v>
      </c>
      <c r="B9" s="111" t="s">
        <v>152</v>
      </c>
      <c r="C9" s="111"/>
      <c r="D9" s="111"/>
      <c r="E9" s="112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</row>
    <row r="10" spans="1:41" x14ac:dyDescent="0.3">
      <c r="A10" s="27">
        <v>1</v>
      </c>
      <c r="B10" s="27" t="s">
        <v>154</v>
      </c>
      <c r="C10" s="27">
        <v>500</v>
      </c>
      <c r="D10" s="27" t="s">
        <v>106</v>
      </c>
      <c r="E10" s="26">
        <v>240</v>
      </c>
      <c r="F10" s="27"/>
      <c r="G10" s="27"/>
      <c r="H10" s="27"/>
      <c r="I10" s="27"/>
      <c r="J10" s="27"/>
      <c r="K10" s="27"/>
      <c r="L10" s="27">
        <f ca="1">SUM(F10:M10)</f>
        <v>0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>
        <f t="shared" si="0"/>
        <v>500</v>
      </c>
    </row>
    <row r="11" spans="1:41" x14ac:dyDescent="0.3">
      <c r="A11" s="27">
        <v>2</v>
      </c>
      <c r="B11" s="27" t="s">
        <v>153</v>
      </c>
      <c r="C11" s="27">
        <v>5</v>
      </c>
      <c r="D11" s="27" t="s">
        <v>166</v>
      </c>
      <c r="E11" s="26">
        <v>5500</v>
      </c>
      <c r="F11" s="27"/>
      <c r="G11" s="27"/>
      <c r="H11" s="27"/>
      <c r="I11" s="27"/>
      <c r="J11" s="27"/>
      <c r="K11" s="27"/>
      <c r="L11" s="27">
        <f ca="1">SUM(F11:M11)</f>
        <v>0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>
        <f t="shared" si="0"/>
        <v>5</v>
      </c>
    </row>
    <row r="12" spans="1:41" x14ac:dyDescent="0.3">
      <c r="A12" s="27">
        <v>3</v>
      </c>
      <c r="B12" s="27" t="s">
        <v>153</v>
      </c>
      <c r="C12" s="27">
        <v>5</v>
      </c>
      <c r="D12" s="27" t="s">
        <v>166</v>
      </c>
      <c r="E12" s="26">
        <v>175</v>
      </c>
      <c r="F12" s="27"/>
      <c r="G12" s="27"/>
      <c r="H12" s="27"/>
      <c r="I12" s="27"/>
      <c r="J12" s="27"/>
      <c r="K12" s="27"/>
      <c r="L12" s="27">
        <f ca="1">SUM(F12:M12)</f>
        <v>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>
        <f t="shared" si="0"/>
        <v>5</v>
      </c>
    </row>
    <row r="13" spans="1:41" x14ac:dyDescent="0.3">
      <c r="A13" s="27"/>
      <c r="B13" s="27"/>
      <c r="C13" s="27"/>
      <c r="D13" s="27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 x14ac:dyDescent="0.3">
      <c r="A14" s="111" t="s">
        <v>155</v>
      </c>
      <c r="B14" s="111" t="s">
        <v>156</v>
      </c>
      <c r="C14" s="111"/>
      <c r="D14" s="111"/>
      <c r="E14" s="112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</row>
    <row r="15" spans="1:41" x14ac:dyDescent="0.3">
      <c r="A15" s="27">
        <v>1</v>
      </c>
      <c r="B15" s="27" t="s">
        <v>157</v>
      </c>
      <c r="C15" s="27">
        <v>1000</v>
      </c>
      <c r="D15" s="27" t="s">
        <v>113</v>
      </c>
      <c r="E15" s="26">
        <v>25</v>
      </c>
      <c r="F15" s="27"/>
      <c r="G15" s="27"/>
      <c r="H15" s="27"/>
      <c r="I15" s="27"/>
      <c r="J15" s="27"/>
      <c r="K15" s="27"/>
      <c r="L15" s="27">
        <f ca="1">SUM(F15:M15)</f>
        <v>0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>
        <f t="shared" si="0"/>
        <v>1000</v>
      </c>
    </row>
    <row r="16" spans="1:41" x14ac:dyDescent="0.3">
      <c r="A16" s="27">
        <v>2</v>
      </c>
      <c r="B16" s="27" t="s">
        <v>158</v>
      </c>
      <c r="C16" s="27">
        <v>500</v>
      </c>
      <c r="D16" s="27" t="s">
        <v>167</v>
      </c>
      <c r="E16" s="26">
        <v>6</v>
      </c>
      <c r="F16" s="27"/>
      <c r="G16" s="27"/>
      <c r="H16" s="27"/>
      <c r="I16" s="27"/>
      <c r="J16" s="27"/>
      <c r="K16" s="27"/>
      <c r="L16" s="27">
        <f ca="1">SUM(F16:M16)</f>
        <v>0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>
        <f t="shared" si="0"/>
        <v>500</v>
      </c>
    </row>
    <row r="17" spans="1:41" x14ac:dyDescent="0.3">
      <c r="A17" s="27"/>
      <c r="B17" s="27"/>
      <c r="C17" s="27"/>
      <c r="D17" s="27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</row>
    <row r="18" spans="1:41" x14ac:dyDescent="0.3">
      <c r="A18" s="111" t="s">
        <v>159</v>
      </c>
      <c r="B18" s="111" t="s">
        <v>160</v>
      </c>
      <c r="C18" s="111"/>
      <c r="D18" s="111"/>
      <c r="E18" s="112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r="19" spans="1:41" x14ac:dyDescent="0.3">
      <c r="A19" s="27">
        <v>1</v>
      </c>
      <c r="B19" s="27" t="s">
        <v>161</v>
      </c>
      <c r="C19" s="27">
        <v>50</v>
      </c>
      <c r="D19" s="27" t="s">
        <v>166</v>
      </c>
      <c r="E19" s="26">
        <v>8000</v>
      </c>
      <c r="F19" s="27"/>
      <c r="G19" s="27"/>
      <c r="H19" s="27"/>
      <c r="I19" s="27"/>
      <c r="J19" s="27"/>
      <c r="K19" s="27"/>
      <c r="L19" s="27">
        <f ca="1">SUM(F19:M19)</f>
        <v>0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>
        <v>53.97</v>
      </c>
      <c r="AK19" s="27"/>
      <c r="AL19" s="27"/>
      <c r="AM19" s="27"/>
      <c r="AN19" s="27"/>
      <c r="AO19" s="27">
        <f>C19-AJ19-AN19</f>
        <v>-3.9699999999999989</v>
      </c>
    </row>
    <row r="20" spans="1:41" x14ac:dyDescent="0.3">
      <c r="A20" s="27">
        <v>1</v>
      </c>
      <c r="B20" s="27" t="s">
        <v>162</v>
      </c>
      <c r="C20" s="27">
        <v>5</v>
      </c>
      <c r="D20" s="27" t="s">
        <v>166</v>
      </c>
      <c r="E20" s="26">
        <v>1000</v>
      </c>
      <c r="F20" s="27"/>
      <c r="G20" s="27"/>
      <c r="H20" s="27"/>
      <c r="I20" s="27"/>
      <c r="J20" s="27"/>
      <c r="K20" s="27"/>
      <c r="L20" s="27">
        <f ca="1">SUM(F20:M20)</f>
        <v>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>
        <f t="shared" si="0"/>
        <v>5</v>
      </c>
    </row>
  </sheetData>
  <mergeCells count="1">
    <mergeCell ref="A1:B1"/>
  </mergeCells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0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K29" sqref="AK29"/>
    </sheetView>
  </sheetViews>
  <sheetFormatPr defaultColWidth="9.109375" defaultRowHeight="14.4" x14ac:dyDescent="0.3"/>
  <cols>
    <col min="1" max="1" width="14.44140625" style="22" bestFit="1" customWidth="1"/>
    <col min="2" max="2" width="61.33203125" style="22" bestFit="1" customWidth="1"/>
    <col min="3" max="3" width="6.44140625" style="22" bestFit="1" customWidth="1"/>
    <col min="4" max="4" width="6.88671875" style="22" bestFit="1" customWidth="1"/>
    <col min="5" max="5" width="12.5546875" style="22" hidden="1" customWidth="1"/>
    <col min="6" max="7" width="10.44140625" style="22" bestFit="1" customWidth="1"/>
    <col min="8" max="8" width="10.44140625" style="22" customWidth="1"/>
    <col min="9" max="11" width="10.44140625" style="22" bestFit="1" customWidth="1"/>
    <col min="12" max="12" width="10.44140625" style="22" customWidth="1"/>
    <col min="13" max="19" width="10.44140625" style="22" bestFit="1" customWidth="1"/>
    <col min="20" max="20" width="10.44140625" style="22" customWidth="1"/>
    <col min="21" max="27" width="10.44140625" style="22" bestFit="1" customWidth="1"/>
    <col min="28" max="28" width="10.44140625" style="22" customWidth="1"/>
    <col min="29" max="35" width="10.44140625" style="22" bestFit="1" customWidth="1"/>
    <col min="36" max="36" width="10.44140625" style="22" customWidth="1"/>
    <col min="37" max="39" width="10.44140625" style="22" bestFit="1" customWidth="1"/>
    <col min="40" max="40" width="11.33203125" style="22" customWidth="1"/>
    <col min="41" max="41" width="14.109375" style="22" customWidth="1"/>
    <col min="42" max="16384" width="9.109375" style="22"/>
  </cols>
  <sheetData>
    <row r="1" spans="1:41" ht="22.5" customHeight="1" x14ac:dyDescent="0.3">
      <c r="A1" s="149" t="s">
        <v>175</v>
      </c>
      <c r="B1" s="149"/>
      <c r="F1" s="148"/>
      <c r="G1" s="148"/>
      <c r="H1" s="148"/>
      <c r="I1" s="148"/>
      <c r="J1" s="148"/>
      <c r="K1" s="148"/>
      <c r="L1" s="148"/>
      <c r="M1" s="148"/>
    </row>
    <row r="2" spans="1:41" ht="36.75" customHeight="1" x14ac:dyDescent="0.3">
      <c r="A2" s="96" t="s">
        <v>163</v>
      </c>
      <c r="B2" s="96" t="s">
        <v>164</v>
      </c>
      <c r="C2" s="107" t="s">
        <v>170</v>
      </c>
      <c r="D2" s="96" t="s">
        <v>165</v>
      </c>
      <c r="E2" s="108" t="s">
        <v>168</v>
      </c>
      <c r="F2" s="109">
        <v>45992</v>
      </c>
      <c r="G2" s="109">
        <v>45993</v>
      </c>
      <c r="H2" s="109">
        <v>45994</v>
      </c>
      <c r="I2" s="109">
        <v>45995</v>
      </c>
      <c r="J2" s="109">
        <v>45996</v>
      </c>
      <c r="K2" s="109">
        <v>45997</v>
      </c>
      <c r="L2" s="110" t="s">
        <v>171</v>
      </c>
      <c r="M2" s="109">
        <v>45998</v>
      </c>
      <c r="N2" s="109">
        <v>45999</v>
      </c>
      <c r="O2" s="109">
        <v>46000</v>
      </c>
      <c r="P2" s="109">
        <v>46001</v>
      </c>
      <c r="Q2" s="109">
        <v>46002</v>
      </c>
      <c r="R2" s="109">
        <v>46003</v>
      </c>
      <c r="S2" s="109">
        <v>46004</v>
      </c>
      <c r="T2" s="110" t="s">
        <v>171</v>
      </c>
      <c r="U2" s="109">
        <v>46005</v>
      </c>
      <c r="V2" s="109">
        <v>46006</v>
      </c>
      <c r="W2" s="109">
        <v>46007</v>
      </c>
      <c r="X2" s="109">
        <v>46008</v>
      </c>
      <c r="Y2" s="109">
        <v>46009</v>
      </c>
      <c r="Z2" s="109">
        <v>46010</v>
      </c>
      <c r="AA2" s="109">
        <v>46011</v>
      </c>
      <c r="AB2" s="110" t="s">
        <v>171</v>
      </c>
      <c r="AC2" s="109">
        <v>46012</v>
      </c>
      <c r="AD2" s="109">
        <v>46013</v>
      </c>
      <c r="AE2" s="109">
        <v>46014</v>
      </c>
      <c r="AF2" s="109">
        <v>46015</v>
      </c>
      <c r="AG2" s="109">
        <v>46016</v>
      </c>
      <c r="AH2" s="109">
        <v>46017</v>
      </c>
      <c r="AI2" s="109">
        <v>46018</v>
      </c>
      <c r="AJ2" s="110" t="s">
        <v>171</v>
      </c>
      <c r="AK2" s="109">
        <v>46019</v>
      </c>
      <c r="AL2" s="109">
        <v>46020</v>
      </c>
      <c r="AM2" s="109">
        <v>46021</v>
      </c>
      <c r="AN2" s="110" t="s">
        <v>171</v>
      </c>
      <c r="AO2" s="111" t="s">
        <v>177</v>
      </c>
    </row>
    <row r="3" spans="1:41" x14ac:dyDescent="0.3">
      <c r="A3" s="111" t="s">
        <v>150</v>
      </c>
      <c r="B3" s="111" t="s">
        <v>145</v>
      </c>
      <c r="C3" s="111"/>
      <c r="D3" s="111"/>
      <c r="E3" s="112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1:41" x14ac:dyDescent="0.3">
      <c r="A4" s="27">
        <v>1</v>
      </c>
      <c r="B4" s="27" t="s">
        <v>148</v>
      </c>
      <c r="C4" s="27">
        <v>500</v>
      </c>
      <c r="D4" s="27" t="s">
        <v>106</v>
      </c>
      <c r="E4" s="26">
        <v>295</v>
      </c>
      <c r="F4" s="27"/>
      <c r="G4" s="27"/>
      <c r="H4" s="27"/>
      <c r="I4" s="27"/>
      <c r="J4" s="27"/>
      <c r="K4" s="27"/>
      <c r="L4" s="27">
        <f ca="1">SUM(F4:M4)</f>
        <v>0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>
        <f>C4-AJ4</f>
        <v>500</v>
      </c>
    </row>
    <row r="5" spans="1:41" x14ac:dyDescent="0.3">
      <c r="A5" s="27">
        <v>2</v>
      </c>
      <c r="B5" s="27" t="s">
        <v>146</v>
      </c>
      <c r="C5" s="27">
        <v>500</v>
      </c>
      <c r="D5" s="27" t="s">
        <v>106</v>
      </c>
      <c r="E5" s="26">
        <v>305</v>
      </c>
      <c r="F5" s="27"/>
      <c r="G5" s="27"/>
      <c r="H5" s="27"/>
      <c r="I5" s="27"/>
      <c r="J5" s="27"/>
      <c r="K5" s="27"/>
      <c r="L5" s="27">
        <f ca="1">SUM(F5:M5)</f>
        <v>0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>
        <f t="shared" ref="AO5:AO20" si="0">C5-AJ5</f>
        <v>500</v>
      </c>
    </row>
    <row r="6" spans="1:41" x14ac:dyDescent="0.3">
      <c r="A6" s="27">
        <v>3</v>
      </c>
      <c r="B6" s="27" t="s">
        <v>147</v>
      </c>
      <c r="C6" s="27">
        <v>1500</v>
      </c>
      <c r="D6" s="27" t="s">
        <v>106</v>
      </c>
      <c r="E6" s="26">
        <v>315</v>
      </c>
      <c r="F6" s="27"/>
      <c r="G6" s="27"/>
      <c r="H6" s="27"/>
      <c r="I6" s="27"/>
      <c r="J6" s="27"/>
      <c r="K6" s="27"/>
      <c r="L6" s="27">
        <f ca="1">SUM(F6:M6)</f>
        <v>0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>
        <f t="shared" si="0"/>
        <v>1500</v>
      </c>
    </row>
    <row r="7" spans="1:41" x14ac:dyDescent="0.3">
      <c r="A7" s="27">
        <v>4</v>
      </c>
      <c r="B7" s="27" t="s">
        <v>149</v>
      </c>
      <c r="C7" s="27">
        <v>1000</v>
      </c>
      <c r="D7" s="27" t="s">
        <v>106</v>
      </c>
      <c r="E7" s="26">
        <v>80</v>
      </c>
      <c r="F7" s="27"/>
      <c r="G7" s="27"/>
      <c r="H7" s="27"/>
      <c r="I7" s="27"/>
      <c r="J7" s="27"/>
      <c r="K7" s="27"/>
      <c r="L7" s="27">
        <f ca="1">SUM(F7:M7)</f>
        <v>0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>
        <f t="shared" si="0"/>
        <v>1000</v>
      </c>
    </row>
    <row r="8" spans="1:41" x14ac:dyDescent="0.3">
      <c r="A8" s="27"/>
      <c r="B8" s="27"/>
      <c r="C8" s="27"/>
      <c r="D8" s="27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</row>
    <row r="9" spans="1:41" x14ac:dyDescent="0.3">
      <c r="A9" s="111" t="s">
        <v>151</v>
      </c>
      <c r="B9" s="111" t="s">
        <v>152</v>
      </c>
      <c r="C9" s="111"/>
      <c r="D9" s="111"/>
      <c r="E9" s="112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</row>
    <row r="10" spans="1:41" x14ac:dyDescent="0.3">
      <c r="A10" s="27">
        <v>1</v>
      </c>
      <c r="B10" s="27" t="s">
        <v>154</v>
      </c>
      <c r="C10" s="27">
        <v>500</v>
      </c>
      <c r="D10" s="27" t="s">
        <v>106</v>
      </c>
      <c r="E10" s="26">
        <v>240</v>
      </c>
      <c r="F10" s="27"/>
      <c r="G10" s="27"/>
      <c r="H10" s="27"/>
      <c r="I10" s="27"/>
      <c r="J10" s="27"/>
      <c r="K10" s="27"/>
      <c r="L10" s="27">
        <f ca="1">SUM(F10:M10)</f>
        <v>0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>
        <f t="shared" si="0"/>
        <v>500</v>
      </c>
    </row>
    <row r="11" spans="1:41" x14ac:dyDescent="0.3">
      <c r="A11" s="27">
        <v>2</v>
      </c>
      <c r="B11" s="27" t="s">
        <v>153</v>
      </c>
      <c r="C11" s="27">
        <v>5</v>
      </c>
      <c r="D11" s="27" t="s">
        <v>166</v>
      </c>
      <c r="E11" s="26">
        <v>5500</v>
      </c>
      <c r="F11" s="27"/>
      <c r="G11" s="27"/>
      <c r="H11" s="27"/>
      <c r="I11" s="27"/>
      <c r="J11" s="27"/>
      <c r="K11" s="27"/>
      <c r="L11" s="27">
        <f ca="1">SUM(F11:M11)</f>
        <v>0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>
        <f t="shared" si="0"/>
        <v>5</v>
      </c>
    </row>
    <row r="12" spans="1:41" x14ac:dyDescent="0.3">
      <c r="A12" s="27">
        <v>3</v>
      </c>
      <c r="B12" s="27" t="s">
        <v>153</v>
      </c>
      <c r="C12" s="27">
        <v>5</v>
      </c>
      <c r="D12" s="27" t="s">
        <v>166</v>
      </c>
      <c r="E12" s="26">
        <v>175</v>
      </c>
      <c r="F12" s="27"/>
      <c r="G12" s="27"/>
      <c r="H12" s="27"/>
      <c r="I12" s="27"/>
      <c r="J12" s="27"/>
      <c r="K12" s="27"/>
      <c r="L12" s="27">
        <f ca="1">SUM(F12:M12)</f>
        <v>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>
        <f t="shared" si="0"/>
        <v>5</v>
      </c>
    </row>
    <row r="13" spans="1:41" x14ac:dyDescent="0.3">
      <c r="A13" s="27"/>
      <c r="B13" s="27"/>
      <c r="C13" s="27"/>
      <c r="D13" s="27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 x14ac:dyDescent="0.3">
      <c r="A14" s="111" t="s">
        <v>155</v>
      </c>
      <c r="B14" s="111" t="s">
        <v>156</v>
      </c>
      <c r="C14" s="111"/>
      <c r="D14" s="111"/>
      <c r="E14" s="112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</row>
    <row r="15" spans="1:41" x14ac:dyDescent="0.3">
      <c r="A15" s="27">
        <v>1</v>
      </c>
      <c r="B15" s="27" t="s">
        <v>157</v>
      </c>
      <c r="C15" s="27">
        <v>1000</v>
      </c>
      <c r="D15" s="27" t="s">
        <v>113</v>
      </c>
      <c r="E15" s="26">
        <v>25</v>
      </c>
      <c r="F15" s="27"/>
      <c r="G15" s="27"/>
      <c r="H15" s="27"/>
      <c r="I15" s="27"/>
      <c r="J15" s="27"/>
      <c r="K15" s="27"/>
      <c r="L15" s="27">
        <f ca="1">SUM(F15:M15)</f>
        <v>0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>
        <f t="shared" si="0"/>
        <v>1000</v>
      </c>
    </row>
    <row r="16" spans="1:41" x14ac:dyDescent="0.3">
      <c r="A16" s="27">
        <v>2</v>
      </c>
      <c r="B16" s="27" t="s">
        <v>158</v>
      </c>
      <c r="C16" s="27">
        <v>500</v>
      </c>
      <c r="D16" s="27" t="s">
        <v>167</v>
      </c>
      <c r="E16" s="26">
        <v>6</v>
      </c>
      <c r="F16" s="27"/>
      <c r="G16" s="27"/>
      <c r="H16" s="27"/>
      <c r="I16" s="27"/>
      <c r="J16" s="27"/>
      <c r="K16" s="27"/>
      <c r="L16" s="27">
        <f ca="1">SUM(F16:M16)</f>
        <v>0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>
        <f t="shared" si="0"/>
        <v>500</v>
      </c>
    </row>
    <row r="17" spans="1:41" x14ac:dyDescent="0.3">
      <c r="A17" s="27"/>
      <c r="B17" s="27"/>
      <c r="C17" s="27"/>
      <c r="D17" s="27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</row>
    <row r="18" spans="1:41" x14ac:dyDescent="0.3">
      <c r="A18" s="111" t="s">
        <v>159</v>
      </c>
      <c r="B18" s="111" t="s">
        <v>160</v>
      </c>
      <c r="C18" s="111"/>
      <c r="D18" s="111"/>
      <c r="E18" s="112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r="19" spans="1:41" x14ac:dyDescent="0.3">
      <c r="A19" s="27">
        <v>1</v>
      </c>
      <c r="B19" s="27" t="s">
        <v>161</v>
      </c>
      <c r="C19" s="27">
        <v>50</v>
      </c>
      <c r="D19" s="27" t="s">
        <v>166</v>
      </c>
      <c r="E19" s="26">
        <v>8000</v>
      </c>
      <c r="F19" s="27"/>
      <c r="G19" s="27"/>
      <c r="H19" s="27"/>
      <c r="I19" s="27"/>
      <c r="J19" s="27"/>
      <c r="K19" s="27"/>
      <c r="L19" s="27">
        <f ca="1">SUM(F19:M19)</f>
        <v>0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>
        <f t="shared" si="0"/>
        <v>50</v>
      </c>
    </row>
    <row r="20" spans="1:41" x14ac:dyDescent="0.3">
      <c r="A20" s="27">
        <v>1</v>
      </c>
      <c r="B20" s="27" t="s">
        <v>162</v>
      </c>
      <c r="C20" s="27">
        <v>5</v>
      </c>
      <c r="D20" s="27" t="s">
        <v>166</v>
      </c>
      <c r="E20" s="26">
        <v>1000</v>
      </c>
      <c r="F20" s="27"/>
      <c r="G20" s="27"/>
      <c r="H20" s="27"/>
      <c r="I20" s="27"/>
      <c r="J20" s="27"/>
      <c r="K20" s="27"/>
      <c r="L20" s="27">
        <f ca="1">SUM(F20:M20)</f>
        <v>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>
        <f t="shared" si="0"/>
        <v>5</v>
      </c>
    </row>
  </sheetData>
  <mergeCells count="2">
    <mergeCell ref="A1:B1"/>
    <mergeCell ref="F1:M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activeCell="E39" sqref="E39"/>
    </sheetView>
  </sheetViews>
  <sheetFormatPr defaultRowHeight="14.4" x14ac:dyDescent="0.3"/>
  <cols>
    <col min="1" max="1" width="23.44140625" customWidth="1"/>
    <col min="3" max="3" width="20.109375" style="22" customWidth="1"/>
    <col min="8" max="8" width="18.5546875" customWidth="1"/>
  </cols>
  <sheetData>
    <row r="1" spans="1:3" x14ac:dyDescent="0.3">
      <c r="A1" s="82" t="s">
        <v>100</v>
      </c>
      <c r="B1" s="81"/>
      <c r="C1" s="80" t="s">
        <v>99</v>
      </c>
    </row>
    <row r="2" spans="1:3" x14ac:dyDescent="0.3">
      <c r="A2" s="77" t="s">
        <v>113</v>
      </c>
      <c r="C2" s="22" t="s">
        <v>105</v>
      </c>
    </row>
    <row r="3" spans="1:3" x14ac:dyDescent="0.3">
      <c r="A3" s="77" t="s">
        <v>106</v>
      </c>
      <c r="C3" s="22" t="s">
        <v>123</v>
      </c>
    </row>
    <row r="4" spans="1:3" x14ac:dyDescent="0.3">
      <c r="A4" s="77" t="s">
        <v>108</v>
      </c>
      <c r="C4" s="22" t="s">
        <v>122</v>
      </c>
    </row>
    <row r="5" spans="1:3" x14ac:dyDescent="0.3">
      <c r="A5" s="77" t="s">
        <v>111</v>
      </c>
      <c r="C5" s="22" t="s">
        <v>121</v>
      </c>
    </row>
    <row r="6" spans="1:3" x14ac:dyDescent="0.3">
      <c r="C6" s="22" t="s">
        <v>120</v>
      </c>
    </row>
    <row r="7" spans="1:3" x14ac:dyDescent="0.3">
      <c r="C7" s="22" t="s">
        <v>119</v>
      </c>
    </row>
    <row r="8" spans="1:3" x14ac:dyDescent="0.3">
      <c r="C8" s="22" t="s">
        <v>118</v>
      </c>
    </row>
    <row r="9" spans="1:3" x14ac:dyDescent="0.3">
      <c r="C9" s="22" t="s">
        <v>117</v>
      </c>
    </row>
    <row r="10" spans="1:3" x14ac:dyDescent="0.3">
      <c r="C10" s="22" t="s">
        <v>116</v>
      </c>
    </row>
    <row r="11" spans="1:3" x14ac:dyDescent="0.3">
      <c r="C11" s="22" t="s">
        <v>112</v>
      </c>
    </row>
    <row r="12" spans="1:3" x14ac:dyDescent="0.3">
      <c r="C12" s="2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NAME NOV</vt:lpstr>
      <vt:lpstr>Dashboard</vt:lpstr>
      <vt:lpstr>PROJECT NAME DEC</vt:lpstr>
      <vt:lpstr>Billable Till Date</vt:lpstr>
      <vt:lpstr>MISC EXPENSES</vt:lpstr>
      <vt:lpstr>Settings</vt:lpstr>
      <vt:lpstr>Rate Master</vt:lpstr>
      <vt:lpstr>Production Report Nov</vt:lpstr>
      <vt:lpstr>Production Report Dec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2025-12-24T16:22:14Z</dcterms:modified>
</cp:coreProperties>
</file>